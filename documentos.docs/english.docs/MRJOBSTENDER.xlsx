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TIVIDAD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<sst xmlns="http://schemas.openxmlformats.org/spreadsheetml/2006/main" count="117" uniqueCount="74">
  <si>
    <t xml:space="preserve">BIDDING FORMAT </t>
  </si>
  <si>
    <t xml:space="preserve">Code: FR-COM-04</t>
  </si>
  <si>
    <t xml:space="preserve">Process: Procurement</t>
  </si>
  <si>
    <t xml:space="preserve">Version: 01</t>
  </si>
  <si>
    <t xml:space="preserve">Date: 05-03-2026</t>
  </si>
  <si>
    <t xml:space="preserve">Contractor Name </t>
  </si>
  <si>
    <t xml:space="preserve">Juan B. Valero</t>
  </si>
  <si>
    <t xml:space="preserve">Contractor Tax ID</t>
  </si>
  <si>
    <t xml:space="preserve">700383142-1</t>
  </si>
  <si>
    <t xml:space="preserve">Delivery Time </t>
  </si>
  <si>
    <t xml:space="preserve">Approx. 30 days</t>
  </si>
  <si>
    <t xml:space="preserve">Warranty </t>
  </si>
  <si>
    <t xml:space="preserve">1 year on labor</t>
  </si>
  <si>
    <t xml:space="preserve">Payment Method </t>
  </si>
  <si>
    <t xml:space="preserve"> Wire Transfer </t>
  </si>
  <si>
    <t xml:space="preserve">Immediate Availability</t>
  </si>
  <si>
    <t xml:space="preserve">Yes</t>
  </si>
  <si>
    <t xml:space="preserve">QUANTITIES TABLE FOR QUOTATION</t>
  </si>
  <si>
    <t xml:space="preserve">ITEM</t>
  </si>
  <si>
    <t xml:space="preserve">ACTIVITY</t>
  </si>
  <si>
    <t xml:space="preserve">UNIT</t>
  </si>
  <si>
    <t xml:space="preserve">QTY</t>
  </si>
  <si>
    <t xml:space="preserve">UNIT VALUE</t>
  </si>
  <si>
    <t xml:space="preserve">TOTAL VALUE</t>
  </si>
  <si>
    <t xml:space="preserve">FACADE</t>
  </si>
  <si>
    <t xml:space="preserve">Application of grey Koraza paint for façade, on a previously prepared surface. Includes cleaning and two coats of grey Koraza paint, until obtaining a uniform finish, full coverage, and a homogeneous appearance.</t>
  </si>
  <si>
    <t xml:space="preserve">m2</t>
  </si>
  <si>
    <t xml:space="preserve">Labor, tools, and equipment necessary to perform the careful dismantling of existing metal doors, including leaves, frames, anchors, fasteners, and associated accessories. Includes loading, removal, and internal disposal of dismantled material at the location specified by the supervisor or client.
Subsequently, supply and installation of a rolling metal door, including leveling, plumbing, side guide fixing, axle, rolling mechanism, supports, operational accessories, and necessary adjustments to guarantee correct operation. Includes opening and closing tests, cleaning of the intervened area, and delivery in optimal working condition.</t>
  </si>
  <si>
    <t xml:space="preserve">GLOB.</t>
  </si>
  <si>
    <t xml:space="preserve">FIRST FLOOR</t>
  </si>
  <si>
    <t xml:space="preserve">Skilled labor, minor tools, access equipment, and personal protective equipment for dismantling existing linear LED panel light fixtures. Includes safe electrical disconnection, dismantling of fixture, drivers, supports, and fixing accessories, controlled lowering of elements, inspection and temporary insulation of conductors, stockpiling of dismantled materials at the site indicated by the supervisor or owner, cleaning of the intervened area, and removal of minor waste generated during the activity.</t>
  </si>
  <si>
    <t xml:space="preserve">Skilled labor, minor tools, and personal protective equipment for dismantling existing electrical outlets, switches, and electrical accessories. Includes circuit de-energization, removal of mechanisms, plates, supports, and accessories, conductor insulation in accordance with electrical safety standards, box removal where applicable, sealing of out-of-use electrical points using mortar, putty, or patching compound according to existing finish, cleaning of intervened area, and internal disposal of leftover materials. Does not include final painting of the patched area.</t>
  </si>
  <si>
    <t xml:space="preserve">Dismantling of existing electrical panel, includes circuit de-energization according to safety protocols, verification of absence of voltage, disconnection of main feeders and branch circuits, removal of existing panel, breakers, and accessories, dismantling of fixing elements, organization and identification of conductors for subsequent reconnection (where applicable), internal loading, stockpiling of dismantled material, and cleaning of intervened area. Includes tools, safety equipment, and skilled labor.</t>
  </si>
  <si>
    <t xml:space="preserve">Installation of DOUBLE-SIDED drywall light partition wall, consisting of galvanized steel stud and track structure, clad with gypsum board on both sides, and installation of Frescasa-type thermal-acoustic insulation inside the system for noise reduction and improved acoustic comfort. Includes layout, leveling, structure fixing, board installation, internal insulation placement, joint treatment, screws, trims, cuts, adjustments, and skilled labor for proper execution of the system.</t>
  </si>
  <si>
    <t xml:space="preserve">M2</t>
  </si>
  <si>
    <t xml:space="preserve">Labor, tools, and equipment necessary for applying white vinyl/acrylic paint on previously prepared interior walls. Includes surface cleaning, area protection, minor spot repairs, light sanding, application of two coats of paint, final cleaning, and removal of leftover materials. Does not include general skim coating or dampness correction.</t>
  </si>
  <si>
    <t xml:space="preserve">Labor, tools, and equipment necessary for applying grey enamel paint on walls, metal surfaces, or previously prepared surfaces. Includes cleaning, light sanding, area protection, minor repairs, primer or anti-corrosive base application where applicable, application of two coats of grey enamel, touch-ups, final cleaning, and removal of leftover materials. Does not include major repairs, general skim coating, or dampness treatment.</t>
  </si>
  <si>
    <t xml:space="preserve">Labor, materials, tools, and equipment necessary for deep cleaning and shine restoration on existing terrazzo/granite floor. Includes sweeping, washing, degreasing, removal of surface stains, application of specialized granite cleaning products, mechanical polishing with rotary machine and abrasive pads depending on floor condition, final buffing, and general cleaning of the intervened area. The surface is delivered clean, uniform, and with natural shine restored.</t>
  </si>
  <si>
    <t xml:space="preserve">Application of green epoxy paint on concrete floor surface, includes mechanical surface preparation by cleaning, surface degreasing, application of two coats of high-traffic green epoxy paint, thickness control, protection of adjacent areas, tools, equipment, and skilled labor. Includes final cleaning and removal of waste generated during the activity.</t>
  </si>
  <si>
    <t xml:space="preserve">Floor demarcation with green traffic paint in 10 cm wide stripes, includes layout, tracing, surface cleaning, application of high-resistance traffic paint, masking tape delineation, application of two coats to achieve uniformity and durability, tape removal, final cleaning of the area, and waste disposal. Includes materials, tools, equipment, and labor.</t>
  </si>
  <si>
    <t xml:space="preserve">LM</t>
  </si>
  <si>
    <t xml:space="preserve">Installation of white 3-way switch (Bety Krom type), with mechanism, electrical box, mounting, functional testing, continuity verification, energization, and commissioning. Includes tools, equipment, and skilled labor necessary for correct installation. Does not include wall chasing, patching, or painting.</t>
  </si>
  <si>
    <t xml:space="preserve">Installation of white double grounded outlet (Cygnus type), includes installation of receptacle, galvanized electrical box, mounting, continuity tests, polarity verification, energization, and commissioning. Includes tools, equipment, and skilled labor. Does not include wall chasing, patching, or painting.</t>
  </si>
  <si>
    <t xml:space="preserve">Installation of galvanized steel wire rope for suspension of linear, decorative, or architectural luminaires; installation of steel cable, turnbuckles, clamps, mechanical anchors, leveling, fixing to existing structure or slab, height adjustment, alignment, and verification of system stability. Includes tools, equipment, and labor necessary for proper installation.</t>
  </si>
  <si>
    <t xml:space="preserve">Installation of 3.00 m electrified lighting track with five (5) adjustable LED spot lights, includes installation of track, LED spots, fixing accessories, electrical power supply, connections, anchors, leveling, alignment, functional testing, luminaire aiming, and commissioning. Includes tools, equipment, and skilled labor.</t>
  </si>
  <si>
    <t xml:space="preserve">Installation of 12-circuit three-phase metallic electrical panel with door (Tercol type), embedded in existing wall, includes layout, controlled demolition of area required for embedding, niche preparation, supply and installation of panel, leveling, mechanical fixing, connection of main feeders and branch circuits, installation of terminals and accessories, perimeter mortar patching, cleaning of intervened area, continuity tests, connection verification, energization, and commissioning. Includes equipment, tools, and skilled labor necessary for proper execution. Does not include branch breakers or RETIE certification.</t>
  </si>
  <si>
    <t xml:space="preserve">Installation of 3x12 AWG flexible rubber-sheathed cable for luminaire power supply, includes routing, fixing, connections, terminals, continuity tests, and commissioning.</t>
  </si>
  <si>
    <t xml:space="preserve">Installation of #12 AWG THHN/THWN copper electrical wire for outlet circuit, consisting of hot, neutral, and ground, includes routing through existing conduit or trunking, line identification, connections, consumables, continuity, and functional testing.</t>
  </si>
  <si>
    <t xml:space="preserve">SECOND FLOOR</t>
  </si>
  <si>
    <t xml:space="preserve">Labor, tools, and equipment necessary for wall or floor chasing (grooving) in existing surfaces via angle grinder cutting and controlled demolition, intended for electrical, hydraulic, data, or special piping conduit routing. Includes layout, cutting, removal of demolished material, work area cleaning, temporary debris stockpiling, and internal site disposal. Does not include piping installation or subsequent patching.</t>
  </si>
  <si>
    <t xml:space="preserve">Labor, minor tools, and equipment necessary for dismantling existing metal enclosure made of tubular profiles welded and anchored to parapets, floors, and walls. Includes cutting welds, removal of fixing elements, controlled dismantling of metal modules, loading, internal transport, stockpiling at site indicated by supervisor or owner, cleaning of intervened area, and removal of minor waste generated during activity. Does not include external transport or final disposal of dismantled material.</t>
  </si>
  <si>
    <t xml:space="preserve">Skilled labor, minor tools, and personal protective equipment for dismantling existing electrical outlets, switches, and electrical accessories. Includes circuit de-energization, removal of mechanisms, plates, supports, and accessories, conductor insulation in accordance with electrical safety standards, box removal where applicable, sealing of out-of-use electrical points using mortar, putty, or patching compound according to existing finish, cleaning of intervened area, and internal disposal of leftover materials. Does not include final painting of patched area.</t>
  </si>
  <si>
    <t xml:space="preserve">Labor, tools, and equipment necessary for applying black vinyl/acrylic paint on previously prepared interior surface. Includes cleaning, area protection, minor repairs, light sanding, application of sealer or primer where applicable, application of two to three coats of black paint to achieve good coverage, final cleaning, and removal of leftover materials. Does not include general skim coating or dampness repair.</t>
  </si>
  <si>
    <t xml:space="preserve">Execution of surface preparation works consisting of manual removal of loose, blistered, peeling, or poorly adhering paint by scraping, putty knife, sandpaper, and minor tools. Includes surface cleaning, removal of loose particles, application of putty for imperfection correction, patching of surface cracks and spalls, fine sanding, and final substrate preparation, leaving the surface uniform, smooth, and suitable for subsequent paint application. Includes labor, minor tools, basic protection of adjacent areas, and removal of waste generated by the activity.</t>
  </si>
  <si>
    <t xml:space="preserve">Labor, tools, equipment, and materials necessary for surface cleaning of 60x60 cm modular drop ceiling, by removing dust, dirt, stains, and adhered residue using non-abrasive elements that do not damage existing tiles. Includes protection of adjacent areas, inspection, and minor adjustment of visible grid if required.
Subsequently, application of paint on tiles and exposed grid, following surface preparation, using interior paint with uniform finish, applied in as many coats as necessary to achieve homogeneous coverage. Includes minor patching, waste management and disposal, final cleaning, and delivery of area in proper working and aesthetic condition.</t>
  </si>
  <si>
    <t xml:space="preserve">Installation of white 3-way switch (Bety Krom type), includes installation of mechanism, electrical box, mounting, functional testing, continuity verification, energization, and commissioning. Includes tools, equipment, and skilled labor necessary for correct installation. Does not include wall chasing, patching, or painting.</t>
  </si>
  <si>
    <t xml:space="preserve">Installation of white double grounded outlet (Cygnus type), includes supply of receptacle, galvanized electrical box, mounting, continuity tests, polarity verification, energization, and commissioning. Includes minor materials, tools, equipment, and skilled labor. Does not include wall chasing, patching, or painting.</t>
  </si>
  <si>
    <t xml:space="preserve">Installation of 18W cold-white circular recessed LED panel light, includes installation of LED luminaire, opening and adaptation of ceiling hole where applicable, electrical connections, power supply wiring, connectors, spring clip mounting, functional testing, energization, and commissioning. Includes minor materials, tools, equipment, and skilled labor necessary for correct installation. Does not include new electrical circuits, EMT conduit, patching, or painting.</t>
  </si>
  <si>
    <t xml:space="preserve">Installation of 3.00 m electrified lighting track with five (5) adjustable LED spot lights, includes installation of track, LED spots, fixing accessories, electrical power supply, connections, anchors, leveling, alignment, functional testing, luminaire aiming, and commissioning. Includes tools, equipment, and skilled labor. Does not include new electrical circuits or switches.</t>
  </si>
  <si>
    <t xml:space="preserve">Installation of 3/4" PVC conduit pipe for electrical routing, includes layout, cutting, PVC solvent welding, installation of required elbows, supports, and accessories, wall or slab mounting, alignment, cleaning, and removal of leftover materials. Includes labor, minor tools, and accessories necessary to leave routing ready for conductor pulling.</t>
  </si>
  <si>
    <t xml:space="preserve">GAS EXTRACTION NETWORK</t>
  </si>
  <si>
    <t xml:space="preserve">Installation of 4-inch heavy-duty pipe, includes fittings.</t>
  </si>
  <si>
    <t xml:space="preserve">Installation of 4-inch Thermoven hose.</t>
  </si>
  <si>
    <t xml:space="preserve">Installation of hose coupling.</t>
  </si>
  <si>
    <t xml:space="preserve">Installation of extraction turbine.</t>
  </si>
  <si>
    <t xml:space="preserve">Installation of electrical point.</t>
  </si>
  <si>
    <t xml:space="preserve">Application of enamel paint on 4-inch pipe.</t>
  </si>
  <si>
    <t xml:space="preserve">SUBTOTAL </t>
  </si>
  <si>
    <t xml:space="preserve">ADMINISTRATION</t>
  </si>
  <si>
    <t xml:space="preserve">CONTINGENCIES</t>
  </si>
  <si>
    <t xml:space="preserve">PROFIT</t>
  </si>
  <si>
    <t xml:space="preserve">VAT ON PROFIT</t>
  </si>
  <si>
    <t xml:space="preserve">DISCOUNT</t>
  </si>
  <si>
    <t xml:space="preserve">TOTAL COST OF THE PROJECT</t>
  </si>
</sst>
</file>

<file path=xl/styles.xml><?xml version="1.0" encoding="utf-8"?>
<styleSheet xmlns="http://schemas.openxmlformats.org/spreadsheetml/2006/main">
  <numFmts count="8">
    <numFmt numFmtId="164" formatCode="General"/>
    <numFmt numFmtId="165" formatCode="_-&quot;$ &quot;* #,##0.00_-;&quot;-$ &quot;* #,##0.00_-;_-&quot;$ &quot;* \-??_-;_-@_-"/>
    <numFmt numFmtId="166" formatCode="[$-409]#,##0.00\ [$COP];[RED]\-#,##0.00\ [$COP]"/>
    <numFmt numFmtId="167" formatCode="[$$-240A]#,##0.00;[RED]\-[$$-240A]#,##0.00"/>
    <numFmt numFmtId="168" formatCode="0.00"/>
    <numFmt numFmtId="169" formatCode="0"/>
    <numFmt numFmtId="170" formatCode="0.00\ %"/>
    <numFmt numFmtId="171" formatCode="0\ %"/>
  </numFmts>
  <fonts count="9">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b val="true"/>
      <sz val="11"/>
      <color theme="1"/>
      <name val="Calibri"/>
      <family val="0"/>
      <charset val="1"/>
    </font>
    <font>
      <b val="true"/>
      <sz val="12"/>
      <color theme="1"/>
      <name val="Arial"/>
      <family val="0"/>
      <charset val="1"/>
    </font>
    <font>
      <b val="true"/>
      <sz val="11"/>
      <color theme="1"/>
      <name val="Aptos Narrow"/>
      <family val="2"/>
      <charset val="1"/>
    </font>
    <font>
      <sz val="11"/>
      <color theme="1"/>
      <name val="Aptos Narrow"/>
      <family val="2"/>
      <charset val="1"/>
    </font>
  </fonts>
  <fills count="4">
    <fill>
      <patternFill patternType="none"/>
    </fill>
    <fill>
      <patternFill patternType="gray125"/>
    </fill>
    <fill>
      <patternFill patternType="solid">
        <fgColor rgb="FFD8D8D8"/>
        <bgColor rgb="FFD9D9D9"/>
      </patternFill>
    </fill>
    <fill>
      <patternFill patternType="solid">
        <fgColor theme="0" tint="-0.15"/>
        <bgColor rgb="FFD8D8D8"/>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6" fontId="0" fillId="0" borderId="1" xfId="17"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7" fontId="0" fillId="0" borderId="1" xfId="17" applyFont="true" applyBorder="true" applyAlignment="true" applyProtection="true">
      <alignment horizontal="center" vertical="center" textRotation="0" wrapText="false" indent="0" shrinkToFit="false"/>
      <protection locked="true" hidden="false"/>
    </xf>
    <xf numFmtId="168" fontId="0" fillId="0" borderId="1" xfId="0" applyFont="true" applyBorder="true" applyAlignment="true" applyProtection="true">
      <alignment horizontal="center" vertical="center" textRotation="0" wrapText="false" indent="0" shrinkToFit="false"/>
      <protection locked="true" hidden="false"/>
    </xf>
    <xf numFmtId="169" fontId="0" fillId="0" borderId="1" xfId="0" applyFont="true" applyBorder="true" applyAlignment="true" applyProtection="true">
      <alignment horizontal="center" vertical="center" textRotation="0" wrapText="false" indent="0" shrinkToFit="false"/>
      <protection locked="true" hidden="false"/>
    </xf>
    <xf numFmtId="167" fontId="0" fillId="0" borderId="1" xfId="17" applyFont="true" applyBorder="true" applyAlignment="true" applyProtection="true">
      <alignment horizontal="general" vertical="bottom" textRotation="0" wrapText="false" indent="0" shrinkToFit="false"/>
      <protection locked="true" hidden="false"/>
    </xf>
    <xf numFmtId="167" fontId="0" fillId="3" borderId="1" xfId="17"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6" fontId="0" fillId="0" borderId="1" xfId="0" applyFont="true" applyBorder="true" applyAlignment="true" applyProtection="true">
      <alignment horizontal="general" vertical="bottom" textRotation="0" wrapText="false" indent="0" shrinkToFit="false"/>
      <protection locked="true" hidden="false"/>
    </xf>
    <xf numFmtId="170" fontId="0" fillId="0" borderId="1" xfId="0" applyFont="true" applyBorder="true" applyAlignment="true" applyProtection="true">
      <alignment horizontal="right" vertical="bottom" textRotation="0" wrapText="false" indent="0" shrinkToFit="false"/>
      <protection locked="true" hidden="false"/>
    </xf>
    <xf numFmtId="171" fontId="0"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0</xdr:row>
      <xdr:rowOff>38160</xdr:rowOff>
    </xdr:from>
    <xdr:to>
      <xdr:col>1</xdr:col>
      <xdr:colOff>550080</xdr:colOff>
      <xdr:row>3</xdr:row>
      <xdr:rowOff>84600</xdr:rowOff>
    </xdr:to>
    <xdr:pic>
      <xdr:nvPicPr>
        <xdr:cNvPr id="0" name="image1.png" descr=""/>
        <xdr:cNvPicPr/>
      </xdr:nvPicPr>
      <xdr:blipFill>
        <a:blip r:embed="rId1"/>
        <a:stretch/>
      </xdr:blipFill>
      <xdr:spPr>
        <a:xfrm>
          <a:off x="114480" y="38160"/>
          <a:ext cx="1121400" cy="6739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5" activeCellId="0" sqref="G5"/>
    </sheetView>
  </sheetViews>
  <sheetFormatPr defaultColWidth="12.57421875" defaultRowHeight="15" zeroHeight="false" outlineLevelRow="0" outlineLevelCol="0"/>
  <cols>
    <col collapsed="false" customWidth="true" hidden="false" outlineLevel="0" max="1" min="1" style="1" width="8.57"/>
    <col collapsed="false" customWidth="true" hidden="false" outlineLevel="0" max="2" min="2" style="1" width="10.7"/>
    <col collapsed="false" customWidth="true" hidden="false" outlineLevel="0" max="4" min="3" style="1" width="8.57"/>
    <col collapsed="false" customWidth="true" hidden="false" outlineLevel="0" max="5" min="5" style="1" width="40.86"/>
    <col collapsed="false" customWidth="true" hidden="false" outlineLevel="0" max="6" min="6" style="1" width="8.57"/>
    <col collapsed="false" customWidth="true" hidden="false" outlineLevel="0" max="7" min="7" style="1" width="11.86"/>
    <col collapsed="false" customWidth="true" hidden="false" outlineLevel="0" max="8" min="8" style="1" width="15.81"/>
    <col collapsed="false" customWidth="true" hidden="false" outlineLevel="0" max="9" min="9" style="1" width="18.05"/>
    <col collapsed="false" customWidth="true" hidden="false" outlineLevel="0" max="26" min="10" style="1" width="8.57"/>
  </cols>
  <sheetData>
    <row r="1" customFormat="false" ht="18" hidden="false" customHeight="true" outlineLevel="0" collapsed="false">
      <c r="C1" s="2" t="s">
        <v>0</v>
      </c>
      <c r="D1" s="2"/>
      <c r="E1" s="2"/>
      <c r="F1" s="2"/>
      <c r="G1" s="2"/>
      <c r="H1" s="3" t="s">
        <v>1</v>
      </c>
      <c r="I1" s="3"/>
    </row>
    <row r="2" customFormat="false" ht="15" hidden="false" customHeight="true" outlineLevel="0" collapsed="false">
      <c r="C2" s="2"/>
      <c r="D2" s="2"/>
      <c r="E2" s="2"/>
      <c r="F2" s="2"/>
      <c r="G2" s="2"/>
      <c r="H2" s="3" t="s">
        <v>2</v>
      </c>
      <c r="I2" s="3"/>
    </row>
    <row r="3" customFormat="false" ht="16.4" hidden="false" customHeight="true" outlineLevel="0" collapsed="false">
      <c r="C3" s="2"/>
      <c r="D3" s="2"/>
      <c r="E3" s="2"/>
      <c r="F3" s="2"/>
      <c r="G3" s="2"/>
      <c r="H3" s="3" t="s">
        <v>3</v>
      </c>
      <c r="I3" s="3"/>
    </row>
    <row r="4" customFormat="false" ht="17.25" hidden="false" customHeight="true" outlineLevel="0" collapsed="false">
      <c r="C4" s="2"/>
      <c r="D4" s="2"/>
      <c r="E4" s="2"/>
      <c r="F4" s="2"/>
      <c r="G4" s="2"/>
      <c r="H4" s="3" t="s">
        <v>4</v>
      </c>
      <c r="I4" s="3"/>
    </row>
    <row r="5" customFormat="false" ht="27.75" hidden="false" customHeight="true" outlineLevel="0" collapsed="false">
      <c r="A5" s="4" t="s">
        <v>5</v>
      </c>
      <c r="B5" s="4"/>
      <c r="C5" s="5" t="s">
        <v>6</v>
      </c>
      <c r="D5" s="5"/>
      <c r="E5" s="2" t="s">
        <v>7</v>
      </c>
      <c r="F5" s="2"/>
      <c r="G5" s="6" t="s">
        <v>8</v>
      </c>
      <c r="H5" s="6"/>
      <c r="I5" s="6"/>
    </row>
    <row r="6" customFormat="false" ht="26.1" hidden="false" customHeight="true" outlineLevel="0" collapsed="false">
      <c r="A6" s="5" t="s">
        <v>9</v>
      </c>
      <c r="B6" s="5"/>
      <c r="C6" s="5" t="s">
        <v>10</v>
      </c>
      <c r="D6" s="5"/>
      <c r="E6" s="5" t="s">
        <v>11</v>
      </c>
      <c r="F6" s="5"/>
      <c r="G6" s="5" t="s">
        <v>12</v>
      </c>
      <c r="H6" s="5"/>
      <c r="I6" s="5"/>
    </row>
    <row r="7" customFormat="false" ht="32.25" hidden="false" customHeight="true" outlineLevel="0" collapsed="false">
      <c r="A7" s="2" t="s">
        <v>13</v>
      </c>
      <c r="B7" s="2"/>
      <c r="C7" s="5" t="s">
        <v>14</v>
      </c>
      <c r="D7" s="5"/>
      <c r="E7" s="4" t="s">
        <v>15</v>
      </c>
      <c r="F7" s="4"/>
      <c r="G7" s="5" t="s">
        <v>16</v>
      </c>
      <c r="H7" s="5"/>
      <c r="I7" s="5"/>
    </row>
    <row r="8" customFormat="false" ht="15" hidden="false" customHeight="false" outlineLevel="0" collapsed="false">
      <c r="A8" s="7" t="s">
        <v>17</v>
      </c>
      <c r="B8" s="7"/>
      <c r="C8" s="7"/>
      <c r="D8" s="7"/>
      <c r="E8" s="7"/>
      <c r="F8" s="7"/>
      <c r="G8" s="7"/>
      <c r="H8" s="7"/>
      <c r="I8" s="7"/>
    </row>
    <row r="9" customFormat="false" ht="16.4" hidden="false" customHeight="false" outlineLevel="0" collapsed="false">
      <c r="A9" s="2" t="s">
        <v>18</v>
      </c>
      <c r="B9" s="2" t="s">
        <v>19</v>
      </c>
      <c r="C9" s="2"/>
      <c r="D9" s="2"/>
      <c r="E9" s="2"/>
      <c r="F9" s="2" t="s">
        <v>20</v>
      </c>
      <c r="G9" s="2" t="s">
        <v>21</v>
      </c>
      <c r="H9" s="4" t="s">
        <v>22</v>
      </c>
      <c r="I9" s="4" t="s">
        <v>23</v>
      </c>
    </row>
    <row r="10" customFormat="false" ht="15" hidden="false" customHeight="false" outlineLevel="0" collapsed="false">
      <c r="A10" s="8" t="s">
        <v>24</v>
      </c>
      <c r="B10" s="8"/>
      <c r="C10" s="8"/>
      <c r="D10" s="8"/>
      <c r="E10" s="8"/>
      <c r="F10" s="8"/>
      <c r="G10" s="8"/>
      <c r="H10" s="8"/>
      <c r="I10" s="8"/>
    </row>
    <row r="11" customFormat="false" ht="87.75" hidden="false" customHeight="true" outlineLevel="0" collapsed="false">
      <c r="A11" s="9" t="n">
        <v>1</v>
      </c>
      <c r="B11" s="10" t="s">
        <v>25</v>
      </c>
      <c r="C11" s="10"/>
      <c r="D11" s="10"/>
      <c r="E11" s="10"/>
      <c r="F11" s="9" t="s">
        <v>26</v>
      </c>
      <c r="G11" s="9" t="n">
        <v>22</v>
      </c>
      <c r="H11" s="11" t="n">
        <v>18000</v>
      </c>
      <c r="I11" s="11" t="n">
        <f aca="false">G11*H11</f>
        <v>396000</v>
      </c>
    </row>
    <row r="12" customFormat="false" ht="194.25" hidden="false" customHeight="true" outlineLevel="0" collapsed="false">
      <c r="A12" s="9" t="n">
        <v>2</v>
      </c>
      <c r="B12" s="10" t="s">
        <v>27</v>
      </c>
      <c r="C12" s="10"/>
      <c r="D12" s="10"/>
      <c r="E12" s="10"/>
      <c r="F12" s="9" t="s">
        <v>28</v>
      </c>
      <c r="G12" s="9" t="n">
        <v>1</v>
      </c>
      <c r="H12" s="11" t="n">
        <v>4000000</v>
      </c>
      <c r="I12" s="11" t="n">
        <f aca="false">G12*H12</f>
        <v>4000000</v>
      </c>
    </row>
    <row r="13" customFormat="false" ht="18.75" hidden="false" customHeight="true" outlineLevel="0" collapsed="false">
      <c r="A13" s="12" t="s">
        <v>29</v>
      </c>
      <c r="B13" s="12"/>
      <c r="C13" s="12"/>
      <c r="D13" s="12"/>
      <c r="E13" s="12"/>
      <c r="F13" s="12"/>
      <c r="G13" s="12"/>
      <c r="H13" s="12"/>
      <c r="I13" s="11"/>
    </row>
    <row r="14" customFormat="false" ht="137.25" hidden="false" customHeight="true" outlineLevel="0" collapsed="false">
      <c r="A14" s="9" t="n">
        <v>3</v>
      </c>
      <c r="B14" s="13" t="s">
        <v>30</v>
      </c>
      <c r="C14" s="13"/>
      <c r="D14" s="13"/>
      <c r="E14" s="13"/>
      <c r="F14" s="14" t="s">
        <v>20</v>
      </c>
      <c r="G14" s="9" t="n">
        <v>10</v>
      </c>
      <c r="H14" s="15" t="n">
        <v>25000</v>
      </c>
      <c r="I14" s="11" t="n">
        <f aca="false">G14*H14</f>
        <v>250000</v>
      </c>
    </row>
    <row r="15" customFormat="false" ht="150" hidden="false" customHeight="true" outlineLevel="0" collapsed="false">
      <c r="A15" s="9" t="n">
        <v>4</v>
      </c>
      <c r="B15" s="13" t="s">
        <v>31</v>
      </c>
      <c r="C15" s="13"/>
      <c r="D15" s="13"/>
      <c r="E15" s="13"/>
      <c r="F15" s="14" t="s">
        <v>20</v>
      </c>
      <c r="G15" s="9" t="n">
        <v>23</v>
      </c>
      <c r="H15" s="15" t="n">
        <v>25000</v>
      </c>
      <c r="I15" s="11" t="n">
        <f aca="false">G15*H15</f>
        <v>575000</v>
      </c>
    </row>
    <row r="16" customFormat="false" ht="131.25" hidden="false" customHeight="true" outlineLevel="0" collapsed="false">
      <c r="A16" s="9" t="n">
        <v>5</v>
      </c>
      <c r="B16" s="10" t="s">
        <v>32</v>
      </c>
      <c r="C16" s="10"/>
      <c r="D16" s="10"/>
      <c r="E16" s="10"/>
      <c r="F16" s="14" t="s">
        <v>20</v>
      </c>
      <c r="G16" s="9" t="n">
        <v>1</v>
      </c>
      <c r="H16" s="15" t="n">
        <v>80000</v>
      </c>
      <c r="I16" s="11" t="n">
        <f aca="false">G16*H16</f>
        <v>80000</v>
      </c>
    </row>
    <row r="17" customFormat="false" ht="153" hidden="false" customHeight="true" outlineLevel="0" collapsed="false">
      <c r="A17" s="9" t="n">
        <v>6</v>
      </c>
      <c r="B17" s="13" t="s">
        <v>33</v>
      </c>
      <c r="C17" s="13"/>
      <c r="D17" s="13"/>
      <c r="E17" s="13"/>
      <c r="F17" s="14" t="s">
        <v>34</v>
      </c>
      <c r="G17" s="16" t="n">
        <v>3.2</v>
      </c>
      <c r="H17" s="15" t="n">
        <v>38000</v>
      </c>
      <c r="I17" s="11" t="n">
        <f aca="false">G17*H17</f>
        <v>121600</v>
      </c>
    </row>
    <row r="18" customFormat="false" ht="108.75" hidden="false" customHeight="true" outlineLevel="0" collapsed="false">
      <c r="A18" s="9" t="n">
        <v>7</v>
      </c>
      <c r="B18" s="13" t="s">
        <v>35</v>
      </c>
      <c r="C18" s="13"/>
      <c r="D18" s="13"/>
      <c r="E18" s="13"/>
      <c r="F18" s="14" t="s">
        <v>34</v>
      </c>
      <c r="G18" s="9" t="n">
        <v>237</v>
      </c>
      <c r="H18" s="15" t="n">
        <v>18000</v>
      </c>
      <c r="I18" s="11" t="n">
        <f aca="false">G18*H18</f>
        <v>4266000</v>
      </c>
    </row>
    <row r="19" customFormat="false" ht="117.75" hidden="false" customHeight="true" outlineLevel="0" collapsed="false">
      <c r="A19" s="9" t="n">
        <v>8</v>
      </c>
      <c r="B19" s="13" t="s">
        <v>36</v>
      </c>
      <c r="C19" s="13"/>
      <c r="D19" s="13"/>
      <c r="E19" s="13"/>
      <c r="F19" s="14" t="s">
        <v>34</v>
      </c>
      <c r="G19" s="9" t="n">
        <v>32</v>
      </c>
      <c r="H19" s="15" t="n">
        <v>20000</v>
      </c>
      <c r="I19" s="11" t="n">
        <f aca="false">G19*H19</f>
        <v>640000</v>
      </c>
    </row>
    <row r="20" customFormat="false" ht="142.5" hidden="false" customHeight="true" outlineLevel="0" collapsed="false">
      <c r="A20" s="9" t="n">
        <v>9</v>
      </c>
      <c r="B20" s="13" t="s">
        <v>37</v>
      </c>
      <c r="C20" s="13"/>
      <c r="D20" s="13"/>
      <c r="E20" s="13"/>
      <c r="F20" s="14" t="s">
        <v>34</v>
      </c>
      <c r="G20" s="9" t="n">
        <v>100</v>
      </c>
      <c r="H20" s="15" t="n">
        <v>50000</v>
      </c>
      <c r="I20" s="11" t="n">
        <f aca="false">G20*H20</f>
        <v>5000000</v>
      </c>
    </row>
    <row r="21" customFormat="false" ht="108" hidden="false" customHeight="true" outlineLevel="0" collapsed="false">
      <c r="A21" s="9" t="n">
        <v>10</v>
      </c>
      <c r="B21" s="13" t="s">
        <v>38</v>
      </c>
      <c r="C21" s="13"/>
      <c r="D21" s="13"/>
      <c r="E21" s="13"/>
      <c r="F21" s="14" t="s">
        <v>34</v>
      </c>
      <c r="G21" s="9" t="n">
        <v>28</v>
      </c>
      <c r="H21" s="15" t="n">
        <v>35000</v>
      </c>
      <c r="I21" s="11" t="n">
        <f aca="false">G21*H21</f>
        <v>980000</v>
      </c>
    </row>
    <row r="22" customFormat="false" ht="108.75" hidden="false" customHeight="true" outlineLevel="0" collapsed="false">
      <c r="A22" s="9" t="n">
        <v>11</v>
      </c>
      <c r="B22" s="13" t="s">
        <v>39</v>
      </c>
      <c r="C22" s="13"/>
      <c r="D22" s="13"/>
      <c r="E22" s="13"/>
      <c r="F22" s="14" t="s">
        <v>40</v>
      </c>
      <c r="G22" s="9" t="n">
        <v>28</v>
      </c>
      <c r="H22" s="15" t="n">
        <v>15000</v>
      </c>
      <c r="I22" s="11" t="n">
        <f aca="false">G22*H22</f>
        <v>420000</v>
      </c>
    </row>
    <row r="23" customFormat="false" ht="99" hidden="false" customHeight="true" outlineLevel="0" collapsed="false">
      <c r="A23" s="9" t="n">
        <v>12</v>
      </c>
      <c r="B23" s="13" t="s">
        <v>41</v>
      </c>
      <c r="C23" s="13"/>
      <c r="D23" s="13"/>
      <c r="E23" s="13"/>
      <c r="F23" s="14" t="s">
        <v>20</v>
      </c>
      <c r="G23" s="9" t="n">
        <v>4</v>
      </c>
      <c r="H23" s="15" t="n">
        <v>80000</v>
      </c>
      <c r="I23" s="11" t="n">
        <f aca="false">G23*H23</f>
        <v>320000</v>
      </c>
    </row>
    <row r="24" customFormat="false" ht="93.75" hidden="false" customHeight="true" outlineLevel="0" collapsed="false">
      <c r="A24" s="9" t="n">
        <v>13</v>
      </c>
      <c r="B24" s="13" t="s">
        <v>42</v>
      </c>
      <c r="C24" s="13"/>
      <c r="D24" s="13"/>
      <c r="E24" s="13"/>
      <c r="F24" s="14" t="s">
        <v>20</v>
      </c>
      <c r="G24" s="17" t="n">
        <v>10</v>
      </c>
      <c r="H24" s="15" t="n">
        <v>80000</v>
      </c>
      <c r="I24" s="11" t="n">
        <f aca="false">G24*H24</f>
        <v>800000</v>
      </c>
    </row>
    <row r="25" customFormat="false" ht="115.5" hidden="false" customHeight="true" outlineLevel="0" collapsed="false">
      <c r="A25" s="9" t="n">
        <v>14</v>
      </c>
      <c r="B25" s="13" t="s">
        <v>43</v>
      </c>
      <c r="C25" s="13"/>
      <c r="D25" s="13"/>
      <c r="E25" s="13"/>
      <c r="F25" s="14" t="s">
        <v>40</v>
      </c>
      <c r="G25" s="17" t="n">
        <v>48</v>
      </c>
      <c r="H25" s="18" t="n">
        <v>50000</v>
      </c>
      <c r="I25" s="11" t="n">
        <f aca="false">G25*H25</f>
        <v>2400000</v>
      </c>
    </row>
    <row r="26" customFormat="false" ht="115.5" hidden="false" customHeight="true" outlineLevel="0" collapsed="false">
      <c r="A26" s="9" t="n">
        <v>15</v>
      </c>
      <c r="B26" s="13" t="s">
        <v>44</v>
      </c>
      <c r="C26" s="13"/>
      <c r="D26" s="13"/>
      <c r="E26" s="13"/>
      <c r="F26" s="14" t="s">
        <v>20</v>
      </c>
      <c r="G26" s="9" t="n">
        <v>3</v>
      </c>
      <c r="H26" s="18" t="n">
        <v>250000</v>
      </c>
      <c r="I26" s="11" t="n">
        <f aca="false">G26*H26</f>
        <v>750000</v>
      </c>
    </row>
    <row r="27" customFormat="false" ht="179.25" hidden="false" customHeight="true" outlineLevel="0" collapsed="false">
      <c r="A27" s="9" t="n">
        <v>16</v>
      </c>
      <c r="B27" s="13" t="s">
        <v>45</v>
      </c>
      <c r="C27" s="13"/>
      <c r="D27" s="13"/>
      <c r="E27" s="13"/>
      <c r="F27" s="14" t="s">
        <v>20</v>
      </c>
      <c r="G27" s="9" t="n">
        <v>1</v>
      </c>
      <c r="H27" s="18" t="n">
        <v>600000</v>
      </c>
      <c r="I27" s="11" t="n">
        <f aca="false">G27*H27</f>
        <v>600000</v>
      </c>
    </row>
    <row r="28" customFormat="false" ht="76.5" hidden="false" customHeight="true" outlineLevel="0" collapsed="false">
      <c r="A28" s="9" t="n">
        <v>17</v>
      </c>
      <c r="B28" s="13" t="s">
        <v>46</v>
      </c>
      <c r="C28" s="13"/>
      <c r="D28" s="13"/>
      <c r="E28" s="13"/>
      <c r="F28" s="14" t="s">
        <v>40</v>
      </c>
      <c r="G28" s="9" t="n">
        <v>40</v>
      </c>
      <c r="H28" s="18" t="n">
        <v>8000</v>
      </c>
      <c r="I28" s="11" t="n">
        <f aca="false">G28*H28</f>
        <v>320000</v>
      </c>
    </row>
    <row r="29" customFormat="false" ht="69.75" hidden="false" customHeight="true" outlineLevel="0" collapsed="false">
      <c r="A29" s="9" t="n">
        <v>18</v>
      </c>
      <c r="B29" s="13" t="s">
        <v>47</v>
      </c>
      <c r="C29" s="13"/>
      <c r="D29" s="13"/>
      <c r="E29" s="13"/>
      <c r="F29" s="14" t="s">
        <v>40</v>
      </c>
      <c r="G29" s="9" t="n">
        <v>177</v>
      </c>
      <c r="H29" s="18" t="n">
        <v>8000</v>
      </c>
      <c r="I29" s="11" t="n">
        <f aca="false">G29*H29</f>
        <v>1416000</v>
      </c>
    </row>
    <row r="30" customFormat="false" ht="36" hidden="false" customHeight="true" outlineLevel="0" collapsed="false">
      <c r="A30" s="12" t="s">
        <v>48</v>
      </c>
      <c r="B30" s="12"/>
      <c r="C30" s="12"/>
      <c r="D30" s="12"/>
      <c r="E30" s="12"/>
      <c r="F30" s="12"/>
      <c r="G30" s="12"/>
      <c r="H30" s="19"/>
      <c r="I30" s="11"/>
    </row>
    <row r="31" customFormat="false" ht="111" hidden="false" customHeight="true" outlineLevel="0" collapsed="false">
      <c r="A31" s="9" t="n">
        <v>19</v>
      </c>
      <c r="B31" s="13" t="s">
        <v>49</v>
      </c>
      <c r="C31" s="13"/>
      <c r="D31" s="13"/>
      <c r="E31" s="13"/>
      <c r="F31" s="14" t="s">
        <v>40</v>
      </c>
      <c r="G31" s="9" t="n">
        <v>7</v>
      </c>
      <c r="H31" s="18" t="n">
        <v>30000</v>
      </c>
      <c r="I31" s="11" t="n">
        <f aca="false">G31*H31</f>
        <v>210000</v>
      </c>
    </row>
    <row r="32" customFormat="false" ht="132" hidden="false" customHeight="true" outlineLevel="0" collapsed="false">
      <c r="A32" s="9" t="n">
        <v>20</v>
      </c>
      <c r="B32" s="13" t="s">
        <v>30</v>
      </c>
      <c r="C32" s="13"/>
      <c r="D32" s="13"/>
      <c r="E32" s="13"/>
      <c r="F32" s="14" t="s">
        <v>20</v>
      </c>
      <c r="G32" s="9" t="n">
        <v>13</v>
      </c>
      <c r="H32" s="18" t="n">
        <v>25000</v>
      </c>
      <c r="I32" s="11" t="n">
        <f aca="false">G32*H32</f>
        <v>325000</v>
      </c>
    </row>
    <row r="33" customFormat="false" ht="146.25" hidden="false" customHeight="true" outlineLevel="0" collapsed="false">
      <c r="A33" s="9" t="n">
        <v>21</v>
      </c>
      <c r="B33" s="13" t="s">
        <v>50</v>
      </c>
      <c r="C33" s="13"/>
      <c r="D33" s="13"/>
      <c r="E33" s="13"/>
      <c r="F33" s="14" t="s">
        <v>28</v>
      </c>
      <c r="G33" s="9" t="n">
        <v>1</v>
      </c>
      <c r="H33" s="18" t="n">
        <v>900000</v>
      </c>
      <c r="I33" s="11" t="n">
        <f aca="false">G33*H33</f>
        <v>900000</v>
      </c>
    </row>
    <row r="34" customFormat="false" ht="150" hidden="false" customHeight="true" outlineLevel="0" collapsed="false">
      <c r="A34" s="9" t="n">
        <v>22</v>
      </c>
      <c r="B34" s="13" t="s">
        <v>51</v>
      </c>
      <c r="C34" s="13"/>
      <c r="D34" s="13"/>
      <c r="E34" s="13"/>
      <c r="F34" s="14" t="s">
        <v>20</v>
      </c>
      <c r="G34" s="9" t="n">
        <v>2</v>
      </c>
      <c r="H34" s="18" t="n">
        <v>25000</v>
      </c>
      <c r="I34" s="11" t="n">
        <f aca="false">G34*H34</f>
        <v>50000</v>
      </c>
    </row>
    <row r="35" customFormat="false" ht="167.25" hidden="false" customHeight="true" outlineLevel="0" collapsed="false">
      <c r="A35" s="9" t="n">
        <v>23</v>
      </c>
      <c r="B35" s="13" t="s">
        <v>33</v>
      </c>
      <c r="C35" s="13"/>
      <c r="D35" s="13"/>
      <c r="E35" s="13"/>
      <c r="F35" s="14" t="s">
        <v>34</v>
      </c>
      <c r="G35" s="16" t="n">
        <v>8.07</v>
      </c>
      <c r="H35" s="18" t="n">
        <v>38000</v>
      </c>
      <c r="I35" s="11" t="n">
        <f aca="false">G35*H35</f>
        <v>306660</v>
      </c>
    </row>
    <row r="36" customFormat="false" ht="96.75" hidden="false" customHeight="true" outlineLevel="0" collapsed="false">
      <c r="A36" s="9" t="n">
        <v>24</v>
      </c>
      <c r="B36" s="13" t="s">
        <v>35</v>
      </c>
      <c r="C36" s="13"/>
      <c r="D36" s="13"/>
      <c r="E36" s="13"/>
      <c r="F36" s="14" t="s">
        <v>34</v>
      </c>
      <c r="G36" s="17" t="n">
        <v>279</v>
      </c>
      <c r="H36" s="15" t="n">
        <v>18000</v>
      </c>
      <c r="I36" s="11" t="n">
        <f aca="false">G36*H36</f>
        <v>5022000</v>
      </c>
    </row>
    <row r="37" customFormat="false" ht="112.5" hidden="false" customHeight="true" outlineLevel="0" collapsed="false">
      <c r="A37" s="9" t="n">
        <v>25</v>
      </c>
      <c r="B37" s="13" t="s">
        <v>52</v>
      </c>
      <c r="C37" s="13"/>
      <c r="D37" s="13"/>
      <c r="E37" s="13"/>
      <c r="F37" s="14" t="s">
        <v>34</v>
      </c>
      <c r="G37" s="16" t="n">
        <v>6.5</v>
      </c>
      <c r="H37" s="15" t="n">
        <v>18000</v>
      </c>
      <c r="I37" s="11" t="n">
        <f aca="false">G37*H37</f>
        <v>117000</v>
      </c>
    </row>
    <row r="38" customFormat="false" ht="162" hidden="false" customHeight="true" outlineLevel="0" collapsed="false">
      <c r="A38" s="9" t="n">
        <v>26</v>
      </c>
      <c r="B38" s="10" t="s">
        <v>53</v>
      </c>
      <c r="C38" s="10"/>
      <c r="D38" s="10"/>
      <c r="E38" s="10"/>
      <c r="F38" s="14" t="s">
        <v>34</v>
      </c>
      <c r="G38" s="17" t="n">
        <v>4</v>
      </c>
      <c r="H38" s="15" t="n">
        <v>18000</v>
      </c>
      <c r="I38" s="11" t="n">
        <f aca="false">G38*H38</f>
        <v>72000</v>
      </c>
    </row>
    <row r="39" customFormat="false" ht="198.75" hidden="false" customHeight="true" outlineLevel="0" collapsed="false">
      <c r="A39" s="9" t="n">
        <v>27</v>
      </c>
      <c r="B39" s="13" t="s">
        <v>54</v>
      </c>
      <c r="C39" s="13"/>
      <c r="D39" s="13"/>
      <c r="E39" s="13"/>
      <c r="F39" s="14" t="s">
        <v>34</v>
      </c>
      <c r="G39" s="9" t="n">
        <v>103</v>
      </c>
      <c r="H39" s="15" t="n">
        <v>25000</v>
      </c>
      <c r="I39" s="11" t="n">
        <f aca="false">G39*H39</f>
        <v>2575000</v>
      </c>
    </row>
    <row r="40" customFormat="false" ht="131.25" hidden="false" customHeight="true" outlineLevel="0" collapsed="false">
      <c r="A40" s="9" t="n">
        <v>28</v>
      </c>
      <c r="B40" s="13" t="s">
        <v>37</v>
      </c>
      <c r="C40" s="13"/>
      <c r="D40" s="13"/>
      <c r="E40" s="13"/>
      <c r="F40" s="14" t="s">
        <v>34</v>
      </c>
      <c r="G40" s="9" t="n">
        <v>32</v>
      </c>
      <c r="H40" s="15" t="n">
        <v>50000</v>
      </c>
      <c r="I40" s="11" t="n">
        <f aca="false">G40*H40</f>
        <v>1600000</v>
      </c>
    </row>
    <row r="41" customFormat="false" ht="118.5" hidden="false" customHeight="true" outlineLevel="0" collapsed="false">
      <c r="A41" s="9" t="n">
        <v>29</v>
      </c>
      <c r="B41" s="13" t="s">
        <v>55</v>
      </c>
      <c r="C41" s="13"/>
      <c r="D41" s="13"/>
      <c r="E41" s="13"/>
      <c r="F41" s="14" t="s">
        <v>20</v>
      </c>
      <c r="G41" s="9" t="n">
        <v>1</v>
      </c>
      <c r="H41" s="15" t="n">
        <v>80000</v>
      </c>
      <c r="I41" s="11" t="n">
        <f aca="false">G41*H41</f>
        <v>80000</v>
      </c>
    </row>
    <row r="42" customFormat="false" ht="72.75" hidden="false" customHeight="true" outlineLevel="0" collapsed="false">
      <c r="A42" s="9" t="n">
        <v>30</v>
      </c>
      <c r="B42" s="13" t="s">
        <v>56</v>
      </c>
      <c r="C42" s="13"/>
      <c r="D42" s="13"/>
      <c r="E42" s="13"/>
      <c r="F42" s="14" t="s">
        <v>20</v>
      </c>
      <c r="G42" s="9" t="n">
        <v>4</v>
      </c>
      <c r="H42" s="15" t="n">
        <v>140000</v>
      </c>
      <c r="I42" s="11" t="n">
        <f aca="false">G42*H42</f>
        <v>560000</v>
      </c>
    </row>
    <row r="43" customFormat="false" ht="123.75" hidden="false" customHeight="true" outlineLevel="0" collapsed="false">
      <c r="A43" s="9" t="n">
        <v>31</v>
      </c>
      <c r="B43" s="13" t="s">
        <v>57</v>
      </c>
      <c r="C43" s="13"/>
      <c r="D43" s="13"/>
      <c r="E43" s="13"/>
      <c r="F43" s="14" t="s">
        <v>20</v>
      </c>
      <c r="G43" s="9" t="n">
        <v>8</v>
      </c>
      <c r="H43" s="15" t="n">
        <v>50000</v>
      </c>
      <c r="I43" s="11" t="n">
        <f aca="false">G43*H43</f>
        <v>400000</v>
      </c>
    </row>
    <row r="44" customFormat="false" ht="108" hidden="false" customHeight="true" outlineLevel="0" collapsed="false">
      <c r="A44" s="9" t="n">
        <v>32</v>
      </c>
      <c r="B44" s="13" t="s">
        <v>58</v>
      </c>
      <c r="C44" s="13"/>
      <c r="D44" s="13"/>
      <c r="E44" s="13"/>
      <c r="F44" s="14" t="s">
        <v>20</v>
      </c>
      <c r="G44" s="9" t="n">
        <v>1</v>
      </c>
      <c r="H44" s="15" t="n">
        <v>250000</v>
      </c>
      <c r="I44" s="11" t="n">
        <f aca="false">G44*H44</f>
        <v>250000</v>
      </c>
    </row>
    <row r="45" customFormat="false" ht="114" hidden="false" customHeight="true" outlineLevel="0" collapsed="false">
      <c r="A45" s="9" t="n">
        <v>33</v>
      </c>
      <c r="B45" s="13" t="s">
        <v>59</v>
      </c>
      <c r="C45" s="13"/>
      <c r="D45" s="13"/>
      <c r="E45" s="13"/>
      <c r="F45" s="14" t="s">
        <v>40</v>
      </c>
      <c r="G45" s="9" t="n">
        <v>20</v>
      </c>
      <c r="H45" s="15" t="n">
        <v>20000</v>
      </c>
      <c r="I45" s="11" t="n">
        <f aca="false">G45*H45</f>
        <v>400000</v>
      </c>
    </row>
    <row r="46" customFormat="false" ht="64.5" hidden="false" customHeight="true" outlineLevel="0" collapsed="false">
      <c r="A46" s="9" t="n">
        <v>34</v>
      </c>
      <c r="B46" s="13" t="s">
        <v>46</v>
      </c>
      <c r="C46" s="13"/>
      <c r="D46" s="13"/>
      <c r="E46" s="13"/>
      <c r="F46" s="14" t="s">
        <v>40</v>
      </c>
      <c r="G46" s="9" t="n">
        <v>14</v>
      </c>
      <c r="H46" s="15" t="n">
        <v>8000</v>
      </c>
      <c r="I46" s="11" t="n">
        <f aca="false">G46*H46</f>
        <v>112000</v>
      </c>
    </row>
    <row r="47" customFormat="false" ht="72.75" hidden="false" customHeight="true" outlineLevel="0" collapsed="false">
      <c r="A47" s="9" t="n">
        <v>35</v>
      </c>
      <c r="B47" s="13" t="s">
        <v>47</v>
      </c>
      <c r="C47" s="13"/>
      <c r="D47" s="13"/>
      <c r="E47" s="13"/>
      <c r="F47" s="14" t="s">
        <v>40</v>
      </c>
      <c r="G47" s="9" t="n">
        <v>20</v>
      </c>
      <c r="H47" s="15" t="n">
        <v>8000</v>
      </c>
      <c r="I47" s="11" t="n">
        <f aca="false">G47*H47</f>
        <v>160000</v>
      </c>
    </row>
    <row r="48" customFormat="false" ht="15.75" hidden="false" customHeight="true" outlineLevel="0" collapsed="false">
      <c r="A48" s="12" t="s">
        <v>60</v>
      </c>
      <c r="B48" s="12"/>
      <c r="C48" s="12"/>
      <c r="D48" s="12"/>
      <c r="E48" s="12"/>
      <c r="F48" s="12"/>
      <c r="G48" s="12"/>
      <c r="H48" s="15"/>
      <c r="I48" s="11"/>
    </row>
    <row r="49" customFormat="false" ht="33" hidden="false" customHeight="true" outlineLevel="0" collapsed="false">
      <c r="A49" s="9" t="n">
        <v>36</v>
      </c>
      <c r="B49" s="13" t="s">
        <v>61</v>
      </c>
      <c r="C49" s="13"/>
      <c r="D49" s="13"/>
      <c r="E49" s="13"/>
      <c r="F49" s="14" t="s">
        <v>40</v>
      </c>
      <c r="G49" s="9" t="n">
        <v>30</v>
      </c>
      <c r="H49" s="15" t="n">
        <v>40000</v>
      </c>
      <c r="I49" s="11" t="n">
        <f aca="false">G49*H49</f>
        <v>1200000</v>
      </c>
    </row>
    <row r="50" customFormat="false" ht="48" hidden="false" customHeight="true" outlineLevel="0" collapsed="false">
      <c r="A50" s="9" t="n">
        <v>37</v>
      </c>
      <c r="B50" s="13" t="s">
        <v>62</v>
      </c>
      <c r="C50" s="13"/>
      <c r="D50" s="13"/>
      <c r="E50" s="13"/>
      <c r="F50" s="14" t="s">
        <v>40</v>
      </c>
      <c r="G50" s="9" t="n">
        <v>5</v>
      </c>
      <c r="H50" s="15" t="n">
        <v>40000</v>
      </c>
      <c r="I50" s="11" t="n">
        <f aca="false">G50*H50</f>
        <v>200000</v>
      </c>
    </row>
    <row r="51" customFormat="false" ht="15.75" hidden="false" customHeight="true" outlineLevel="0" collapsed="false">
      <c r="A51" s="9" t="n">
        <v>38</v>
      </c>
      <c r="B51" s="20" t="s">
        <v>63</v>
      </c>
      <c r="C51" s="20"/>
      <c r="D51" s="20"/>
      <c r="E51" s="20"/>
      <c r="F51" s="14" t="s">
        <v>20</v>
      </c>
      <c r="G51" s="9" t="n">
        <v>2</v>
      </c>
      <c r="H51" s="15" t="n">
        <v>40000</v>
      </c>
      <c r="I51" s="11" t="n">
        <f aca="false">G51*H51</f>
        <v>80000</v>
      </c>
    </row>
    <row r="52" customFormat="false" ht="42.75" hidden="false" customHeight="true" outlineLevel="0" collapsed="false">
      <c r="A52" s="9" t="n">
        <v>39</v>
      </c>
      <c r="B52" s="13" t="s">
        <v>64</v>
      </c>
      <c r="C52" s="13"/>
      <c r="D52" s="13"/>
      <c r="E52" s="13"/>
      <c r="F52" s="14" t="s">
        <v>20</v>
      </c>
      <c r="G52" s="9" t="n">
        <v>1</v>
      </c>
      <c r="H52" s="15" t="n">
        <v>300000</v>
      </c>
      <c r="I52" s="11" t="n">
        <f aca="false">G52*H52</f>
        <v>300000</v>
      </c>
    </row>
    <row r="53" customFormat="false" ht="32.25" hidden="false" customHeight="true" outlineLevel="0" collapsed="false">
      <c r="A53" s="9" t="n">
        <v>40</v>
      </c>
      <c r="B53" s="13" t="s">
        <v>65</v>
      </c>
      <c r="C53" s="13"/>
      <c r="D53" s="13"/>
      <c r="E53" s="13"/>
      <c r="F53" s="14" t="s">
        <v>20</v>
      </c>
      <c r="G53" s="9" t="n">
        <v>1</v>
      </c>
      <c r="H53" s="15" t="n">
        <v>120000</v>
      </c>
      <c r="I53" s="11" t="n">
        <f aca="false">G53*H53</f>
        <v>120000</v>
      </c>
    </row>
    <row r="54" customFormat="false" ht="39.75" hidden="false" customHeight="true" outlineLevel="0" collapsed="false">
      <c r="A54" s="9" t="n">
        <v>41</v>
      </c>
      <c r="B54" s="13" t="s">
        <v>66</v>
      </c>
      <c r="C54" s="13"/>
      <c r="D54" s="13"/>
      <c r="E54" s="13"/>
      <c r="F54" s="14" t="s">
        <v>40</v>
      </c>
      <c r="G54" s="9" t="n">
        <v>30</v>
      </c>
      <c r="H54" s="15" t="n">
        <v>12000</v>
      </c>
      <c r="I54" s="11" t="n">
        <f aca="false">G54*H54</f>
        <v>360000</v>
      </c>
    </row>
    <row r="55" customFormat="false" ht="15.75" hidden="false" customHeight="true" outlineLevel="0" collapsed="false">
      <c r="A55" s="5" t="s">
        <v>67</v>
      </c>
      <c r="B55" s="5"/>
      <c r="C55" s="5"/>
      <c r="D55" s="5"/>
      <c r="E55" s="5"/>
      <c r="F55" s="5"/>
      <c r="G55" s="5"/>
      <c r="H55" s="5"/>
      <c r="I55" s="21" t="n">
        <f aca="false">SUM(I11:I54)</f>
        <v>38734260</v>
      </c>
    </row>
    <row r="56" customFormat="false" ht="15.75" hidden="false" customHeight="true" outlineLevel="0" collapsed="false">
      <c r="A56" s="5" t="s">
        <v>68</v>
      </c>
      <c r="B56" s="5"/>
      <c r="C56" s="5"/>
      <c r="D56" s="5"/>
      <c r="E56" s="5"/>
      <c r="F56" s="5"/>
      <c r="G56" s="5"/>
      <c r="H56" s="22" t="n">
        <v>0.05</v>
      </c>
      <c r="I56" s="21" t="n">
        <f aca="false">I55*5%</f>
        <v>1936713</v>
      </c>
    </row>
    <row r="57" customFormat="false" ht="15.75" hidden="false" customHeight="true" outlineLevel="0" collapsed="false">
      <c r="A57" s="5" t="s">
        <v>69</v>
      </c>
      <c r="B57" s="5"/>
      <c r="C57" s="5"/>
      <c r="D57" s="5"/>
      <c r="E57" s="5"/>
      <c r="F57" s="5"/>
      <c r="G57" s="5"/>
      <c r="H57" s="22" t="n">
        <v>0.03</v>
      </c>
      <c r="I57" s="21" t="n">
        <f aca="false">I55*3%</f>
        <v>1162027.8</v>
      </c>
    </row>
    <row r="58" customFormat="false" ht="15.75" hidden="false" customHeight="true" outlineLevel="0" collapsed="false">
      <c r="A58" s="5" t="s">
        <v>70</v>
      </c>
      <c r="B58" s="5"/>
      <c r="C58" s="5"/>
      <c r="D58" s="5"/>
      <c r="E58" s="5"/>
      <c r="F58" s="5"/>
      <c r="G58" s="5"/>
      <c r="H58" s="22" t="n">
        <v>0.03</v>
      </c>
      <c r="I58" s="21" t="n">
        <f aca="false">I55*3%</f>
        <v>1162027.8</v>
      </c>
    </row>
    <row r="59" customFormat="false" ht="15.75" hidden="false" customHeight="true" outlineLevel="0" collapsed="false">
      <c r="A59" s="5" t="s">
        <v>71</v>
      </c>
      <c r="B59" s="5"/>
      <c r="C59" s="5"/>
      <c r="D59" s="5"/>
      <c r="E59" s="5"/>
      <c r="F59" s="5"/>
      <c r="G59" s="5"/>
      <c r="H59" s="23" t="n">
        <v>0.19</v>
      </c>
      <c r="I59" s="21" t="n">
        <f aca="false">I58*H59</f>
        <v>220785.282</v>
      </c>
    </row>
    <row r="60" customFormat="false" ht="15.75" hidden="false" customHeight="true" outlineLevel="0" collapsed="false">
      <c r="A60" s="5" t="s">
        <v>72</v>
      </c>
      <c r="B60" s="5"/>
      <c r="C60" s="5"/>
      <c r="D60" s="5"/>
      <c r="E60" s="5"/>
      <c r="F60" s="5"/>
      <c r="G60" s="5"/>
      <c r="H60" s="5"/>
      <c r="I60" s="21"/>
    </row>
    <row r="61" customFormat="false" ht="15.75" hidden="false" customHeight="true" outlineLevel="0" collapsed="false">
      <c r="A61" s="5" t="s">
        <v>73</v>
      </c>
      <c r="B61" s="5"/>
      <c r="C61" s="5"/>
      <c r="D61" s="5"/>
      <c r="E61" s="5"/>
      <c r="F61" s="5"/>
      <c r="G61" s="5"/>
      <c r="H61" s="5"/>
      <c r="I61" s="21" t="n">
        <f aca="false">SUM(I55:I59)</f>
        <v>43215813.882</v>
      </c>
    </row>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sheetData>
  <mergeCells count="71">
    <mergeCell ref="C1:G4"/>
    <mergeCell ref="H1:I1"/>
    <mergeCell ref="H2:I2"/>
    <mergeCell ref="H3:I3"/>
    <mergeCell ref="H4:I4"/>
    <mergeCell ref="A5:B5"/>
    <mergeCell ref="C5:D5"/>
    <mergeCell ref="E5:F5"/>
    <mergeCell ref="G5:I5"/>
    <mergeCell ref="A6:B6"/>
    <mergeCell ref="C6:D6"/>
    <mergeCell ref="E6:F6"/>
    <mergeCell ref="G6:I6"/>
    <mergeCell ref="A7:B7"/>
    <mergeCell ref="C7:D7"/>
    <mergeCell ref="E7:F7"/>
    <mergeCell ref="G7:I7"/>
    <mergeCell ref="A8:I8"/>
    <mergeCell ref="B9:E9"/>
    <mergeCell ref="A10:I10"/>
    <mergeCell ref="B11:E11"/>
    <mergeCell ref="B12:E12"/>
    <mergeCell ref="A13:H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A30:G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A48:G48"/>
    <mergeCell ref="B49:E49"/>
    <mergeCell ref="B50:E50"/>
    <mergeCell ref="B51:E51"/>
    <mergeCell ref="B52:E52"/>
    <mergeCell ref="B53:E53"/>
    <mergeCell ref="B54:E54"/>
    <mergeCell ref="A55:H55"/>
    <mergeCell ref="A56:G56"/>
    <mergeCell ref="A57:G57"/>
    <mergeCell ref="A58:G58"/>
    <mergeCell ref="A59:G59"/>
    <mergeCell ref="A60:H60"/>
    <mergeCell ref="A61:H6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145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2026-03-05T22:56:30Z</dcterms:created>
  <dc:creator>giorgi business group sas bic giorgi business group sas bic</dc:creator>
  <dc:description/>
  <dc:language>es-ES</dc:language>
  <cp:lastModifiedBy/>
  <dcterms:modified xsi:type="dcterms:W3CDTF">2026-07-29T08:15:56Z</dcterms:modified>
  <cp:revision>38</cp:revision>
  <dc:subject/>
  <dc:title/>
</cp:coreProperties>
</file>

<file path=docProps/custom.xml><?xml version="1.0" encoding="utf-8"?>
<Properties xmlns="http://schemas.openxmlformats.org/officeDocument/2006/custom-properties" xmlns:vt="http://schemas.openxmlformats.org/officeDocument/2006/docPropsVTypes"/>
</file>