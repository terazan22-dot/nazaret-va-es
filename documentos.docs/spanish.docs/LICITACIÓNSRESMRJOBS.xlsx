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TIVIDAD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<sst xmlns="http://schemas.openxmlformats.org/spreadsheetml/2006/main" count="117" uniqueCount="74">
  <si>
    <t xml:space="preserve">FORMATO DE LICITACIÓN </t>
  </si>
  <si>
    <t xml:space="preserve">Código: FR-COM-04</t>
  </si>
  <si>
    <t xml:space="preserve">Proceso: Compras</t>
  </si>
  <si>
    <t xml:space="preserve">Versión: 01</t>
  </si>
  <si>
    <t xml:space="preserve">Fecha: 05-03-2026</t>
  </si>
  <si>
    <t xml:space="preserve">Nombre de contratista </t>
  </si>
  <si>
    <t xml:space="preserve">Juan B. Valero</t>
  </si>
  <si>
    <t xml:space="preserve">Nit Contratista </t>
  </si>
  <si>
    <t xml:space="preserve">700383142-1</t>
  </si>
  <si>
    <t xml:space="preserve">Tiempo de entrega </t>
  </si>
  <si>
    <t xml:space="preserve">30 DÍAS APROX.</t>
  </si>
  <si>
    <t xml:space="preserve">Garantia </t>
  </si>
  <si>
    <t xml:space="preserve">1 año en la mano de obra</t>
  </si>
  <si>
    <t xml:space="preserve">Forma de pago </t>
  </si>
  <si>
    <t xml:space="preserve">Transferencia</t>
  </si>
  <si>
    <t xml:space="preserve">Cuenta con Disponibilidad inmediata </t>
  </si>
  <si>
    <t xml:space="preserve">Si</t>
  </si>
  <si>
    <t xml:space="preserve">TABLA DE CANTIDADES PARA COTIZACIÓN </t>
  </si>
  <si>
    <t xml:space="preserve">ITEM</t>
  </si>
  <si>
    <t xml:space="preserve">ACTIVIDAD </t>
  </si>
  <si>
    <t xml:space="preserve">UNIDAD</t>
  </si>
  <si>
    <t xml:space="preserve">CANTIDAD </t>
  </si>
  <si>
    <t xml:space="preserve">VALOR UNITARIO </t>
  </si>
  <si>
    <t xml:space="preserve">VALOR TOTAL </t>
  </si>
  <si>
    <t xml:space="preserve">FACHADA </t>
  </si>
  <si>
    <t xml:space="preserve">Aplicación de pintura Koraza color gris para fachada, sobre superficie previamente preparada. Incluye limpieza y dos manos de pintura Koraza color gris, hasta obtener acabado uniforme, cubrimiento total y apariencia homogénea.</t>
  </si>
  <si>
    <t xml:space="preserve">m2</t>
  </si>
  <si>
    <t xml:space="preserve">Mano de obra, herramientas y equipos necesarios para realizar el desmonte cuidadoso de las puertas metálicas existentes, incluyendo hojas, marcos, anclajes, elementos de fijación y accesorios asociados. Incluye cargue, retiro y disposición interna del material desmontado en el lugar indicado por la interventoría o cliente.
Posteriormente se realizará Suministro e instalación de puerta enrollable metálica, incluyendo nivelación, aplome, fijación de guías laterales, eje, sistema de enrollamiento, soportes, accesorios de funcionamiento y ajustes necesarios para garantizar su correcta operación. Incluye pruebas de apertura y cierre, limpieza del área intervenida y entrega en óptimas condiciones de funcionamiento.</t>
  </si>
  <si>
    <t xml:space="preserve">GLB</t>
  </si>
  <si>
    <t xml:space="preserve">PRIMER PISO</t>
  </si>
  <si>
    <t xml:space="preserve">mano de obra calificada, herramientas menores, equipos de acceso y elementos de protección personal para el desmonte de luminarias tipo panel LED lineal existentes. Incluye desconexión eléctrica segura, desmontaje de luminaria, drivers, soportes y accesorios de fijación, descenso controlado de los elementos, revisión y aislamiento temporal de conductores, acopio de materiales desmontados en el sitio indicado por la interventoría o propietario, limpieza del área intervenida y retiro de residuos menores generados durante la actividad.</t>
  </si>
  <si>
    <t xml:space="preserve">mano de obra calificada, herramientas menores y elementos de protección personal para el desmonte de tomacorrientes, interruptores y accesorios eléctricos existentes. Incluye desenergización del circuito, retiro de mecanismos, tapas, soportes y accesorios, aislamiento de conductores de acuerdo con las normas de seguridad eléctrica, retiro de cajas cuando aplique, sellado de puntos eléctricos fuera de uso mediante mortero, masilla o resane según el acabado existente, limpieza del área intervenida y disposición interna de materiales sobrantes. No incluye pintura final del área resanada.</t>
  </si>
  <si>
    <t xml:space="preserve">Desmonte de tablero eléctrico existente, incluye desenergización del circuito de acuerdo con protocolos de seguridad, verificación de ausencia de tensión, desconexión de acometidas y circuitos derivados, retiro del tablero, breakers y accesorios existentes, desmontaje de elementos de fijación, organización e identificación de conductores para posterior reconexión (cuando aplique), cargue interno, acopio del material desmontado y limpieza del área intervenida. Incluye herramientas, equipos de seguridad y mano de obra calificada.</t>
  </si>
  <si>
    <t xml:space="preserve">instalación de muro liviano en sistema drywall CARA DOBLE, conformado por estructura metálica galvanizada tipo parales y canales, revestido con lámina de yeso por ambas caras e instalación de aislamiento termoacústico tipo Frescasa en el interior del sistema, para reducción de transmisión de ruido y mejora del confort acústico. Incluye replanteo, nivelación, fijación de estructura, instalación de láminas, colocación del aislamiento interno, tratamiento de juntas, tornillería, perfilería, cortes, ajustes y mano de obra calificada para correcta ejecución del sistema.</t>
  </si>
  <si>
    <t xml:space="preserve">M2</t>
  </si>
  <si>
    <t xml:space="preserve">mano de obra, herramientas y equipos necesarios para la aplicación de pintura blanca tipo vinilo/acrílica sobre muros interiores previamente preparados. Incluye limpieza superficial, protección de áreas, resanes menores puntuales, lijado suave, aplicación de dos manos de pintura, limpieza final y retiro de sobrantes. No incluye estuco general ni corrección de humedades.</t>
  </si>
  <si>
    <t xml:space="preserve">mano de obra, herramientas y equipos necesarios para aplicación de pintura gris en esmalte sobre muro, superficie metálica o superficie previamente preparada. Incluye limpieza, lijado suave, protección de áreas, resanes menores, aplicación de base o anticorrosivo cuando aplique, aplicación de dos manos de esmalte gris, retoques, limpieza final y retiro de sobrantes. No incluye reparaciones mayores, estuco general ni tratamiento de humedades.</t>
  </si>
  <si>
    <t xml:space="preserve">mano de obra, materiales, herramientas y equipos necesarios para la limpieza profunda y recuperación de brillo en piso de granito existente. Incluye barrido, lavado, desengrase, retiro de manchas superficiales, aplicación de productos especializados para limpieza de granito, pulido mecánico con máquina rotativa y pads abrasivos según estado del piso, brillado final y limpieza general del área intervenida. Se entrega la superficie limpia, uniforme y con recuperación de brillo natural.</t>
  </si>
  <si>
    <t xml:space="preserve">Aplicación de pintura epóxica color verde sobre superficie de piso en concreto, incluye preparación mecánica de la superficie mediante limpieza, desengrase superficial, aplicación de dos manos de pintura epóxica verde de alto tráfico, control de espesores, protección de áreas adyacentes, herramientas, equipos y mano de obra calificada. Incluye limpieza final y retiro de residuos generados durante la actividad.</t>
  </si>
  <si>
    <t xml:space="preserve">Demarcación de piso con pintura de tráfico color verde en franjas de 10 cm de ancho, incluye replanteo, trazado, limpieza de la superficie, aplicación de pintura de tráfico de alta resistencia, delimitación mediante cinta de enmascarar, aplicación de dos manos para lograr uniformidad y durabilidad, retiro de cintas, limpieza final del área y disposición de residuos. Incluye materiales, herramientas, equipos y mano de obra.</t>
  </si>
  <si>
    <t xml:space="preserve">ML</t>
  </si>
  <si>
    <t xml:space="preserve"> instalación de interruptor conmutable blanco tipo Bety Krom,con el  mecanismo, caja eléctrica, fijación, pruebas de funcionamiento, verificación de continuidad, energización y puesta en operación. Incluye, herramienta, equipos y mano de obra calificada necesaria para su correcta instalación. No incluye regatas, resanes ni pintura.</t>
  </si>
  <si>
    <t xml:space="preserve"> instalación de toma doble polo a tierra color blanco tipo Cygnus, incluye instalacion del tomacorriente, caja eléctrica galvanizada, fijación, pruebas de continuidad, verificación de polaridad, energización y puesta en funcionamiento. Incluye, herramienta, equipos y mano de obra calificada. No incluye regatas, resanes ni pintura.</t>
  </si>
  <si>
    <t xml:space="preserve">Instalación de guaya galvanizada para suspensión de luminarias lineales, decorativas o arquitectónicas,instalación de guaya acerada, tensores, prensas, anclajes mecánicos, nivelación, fijación a estructura o placa existente, ajuste de altura, alineación y verificación de estabilidad del sistema de suspensión. Incluye herramientas, equipos y mano de obra necesaria para su correcta instalación.</t>
  </si>
  <si>
    <t xml:space="preserve">instalación de riel electrificado de iluminación de 3,00 m con cinco (5) spots LED orientables, incluye instalacion del riel, spots LED, accesorios de fijación, alimentación eléctrica, conexiones, anclajes, nivelación, alineación, pruebas de funcionamiento, direccionamiento de luminarias y puesta en operación. Incluye, herramientas, equipos y mano de obra calificada.</t>
  </si>
  <si>
    <t xml:space="preserve">instalación de tablero eléctrico trifásico metálico de 12 circuitos tipo Tercol con puerta, empotrado en muro existente, incluye replanteo, demolición controlada del área requerida para incrustación, adecuación del nicho, suministro e instalación del tablero, nivelación, fijación mecánica, conexión de acometidas y circuitos derivados, instalación de terminales y accesorios, resane perimetral en mortero, limpieza del área intervenida, pruebas de continuidad, verificación de conexiones, energización y puesta en funcionamiento. Incluye,equipos, herramienta y mano de obra calificada necesaria para su correcta ejecución. No incluye breakers ramales ni certificación RETIE.</t>
  </si>
  <si>
    <t xml:space="preserve">instalación de cable encauchetado flexible 3x12 AWG para alimentación eléctrica de luminarias, incluye tendido, fijación, conexiones, terminales, pruebas de continuidad y puesta en funcionamiento.</t>
  </si>
  <si>
    <t xml:space="preserve">instalación de cable eléctrico cobre THHN/THWN #12 AWG para circuito de tomas, compuesto por fase, neutro y tierra, incluye tendido por tubería o canaleta existente, identificación de líneas, conexiones, consumibles, pruebas de continuidad y funcionamiento.</t>
  </si>
  <si>
    <t xml:space="preserve">SEGUNDO PISO</t>
  </si>
  <si>
    <t xml:space="preserve">mano de obra, herramientas y equipos necesarios para la ejecución de regatas en muros o pisos existentes mediante corte con pulidora y demolición controlada, destinadas al paso de tuberías eléctricas, hidráulicas, de datos o especiales. Incluye trazado, corte, retiro de material producto de la demolición, limpieza del área de trabajo, acopio temporal de escombros y disposición interna dentro de la obra. No incluye instalación de tuberías ni resanes posteriores.</t>
  </si>
  <si>
    <t xml:space="preserve">mano de obra, herramientas menores y equipos necesarios para el desmonte de cerramiento metálico existente conformado por perfiles tubulares soldados y anclados a muretes, pisos y muros. Incluye corte de soldaduras, retiro de elementos de fijación, desmontaje controlado de módulos metálicos, cargue, transporte interno, apilamiento en sitio indicado por la interventoría o propietario, limpieza del área intervenida y retiro de residuos menores generados durante la actividad. No incluye transporte externo ni disposición final del material desmontado.</t>
  </si>
  <si>
    <t xml:space="preserve">mano de obra, herramientas y equipos necesarios para la aplicación de pintura negra tipo vinilo/acrílica sobre superficie interior previamente preparada. Incluye limpieza, protección de áreas, resanes menores, lijado suave, aplicación de sellador o base cuando aplique, aplicación de dos a tres manos de pintura negra para lograr buena cobertura, limpieza final y retiro de sobrantes. No incluye estuco general ni reparación de humedades.</t>
  </si>
  <si>
    <t xml:space="preserve">Ejecución de trabajos de preparación de superficie consistentes en el retiro manual de pintura suelta, ampollada, descascarada o con deficiente adherencia mediante raspado, espátula, lija y herramientas menores. Incluye limpieza de la superficie, eliminación de partículas sueltas, aplicación de masilla para corrección de imperfecciones, resane de fisuras y desprendimientos superficiales, lijado fino y preparación final del sustrato, dejando la superficie uniforme, lisa y apta para la posterior aplicación de pintura. Incluye mano de obra, herramientas menores, protección básica de áreas adyacentes y retiro de residuos producto de la actividad.</t>
  </si>
  <si>
    <t xml:space="preserve">mano de obra, herramientas, equipos y materiales necesarios para realizar la limpieza superficial de cielo falso modular tipo 60x60 cm, mediante retiro de polvo, suciedad, manchas y residuos adheridos, utilizando elementos no abrasivos que no deterioren las placas existentes. Incluye protección de áreas aledañas, revisión y ajuste menor de perfilería visible si se requiere.
Posteriormente, aplicación de pintura sobre las placas y perfilería expuesta, previa preparación de la superficie, utilizando pintura para interiores de acabado uniforme, aplicada en las manos necesarias hasta lograr cubrimiento homogéneo. Incluye resanes menores, manejo y disposición de residuos, limpieza final y entrega del área en correcto estado de funcionamiento y presentación.</t>
  </si>
  <si>
    <t xml:space="preserve">instalación de interruptor conmutable blanco tipo Bety Krom, incluye instalacion del mecanismo, caja eléctrica, fijación, pruebas de funcionamiento, verificación de continuidad, energización y puesta en operación. Incluye, herramienta, equipos y mano de obra calificada necesaria para su correcta instalación. No incluye regatas, resanes ni pintura.</t>
  </si>
  <si>
    <t xml:space="preserve"> instalación de toma doble polo a tierra color blanco tipo Cygnus, incluye suministro del tomacorriente, caja eléctrica galvanizada, fijación, pruebas de continuidad, verificación de polaridad, energización y puesta en funcionamiento. Incluye materiales menores, herramienta, equipos y mano de obra calificada. No incluye regatas, resanes ni pintura.</t>
  </si>
  <si>
    <t xml:space="preserve"> instalación de panel LED empotrable circular de 18W luz fría, incluye instalacion de luminaria LED, apertura y adecuación de perforación en cielo raso cuando aplique, conexiones eléctricas, cableado de alimentación, conectores, fijación mediante sistema de resortes, pruebas de funcionamiento, energización y puesta en operación. Incluye materiales menores, herramienta, equipos y mano de obra calificada necesaria para su correcta instalación. No incluye circuitos eléctricos nuevos, tubería EMT, resanes ni pintura.</t>
  </si>
  <si>
    <t xml:space="preserve">instalación de riel electrificado de iluminación de 3,00 m con cinco (5) spots LED orientables, incluye instalacion del riel, spots LED, accesorios de fijación, alimentación eléctrica, conexiones, anclajes, nivelación, alineación, pruebas de funcionamiento, direccionamiento de luminarias y puesta en operación. Incluye, herramientas, equipos y mano de obra calificada. No incluye circuitos eléctricos nuevos ni interruptores.</t>
  </si>
  <si>
    <t xml:space="preserve"> instalación de tubería PVC conduit de 3/4" para canalización eléctrica, incluye replanteo, corte, unión mediante soldadura PVC, instalación de curvas, soportes y accesorios requeridos, fijación a muro o placa, alineación, limpieza y retiro de sobrantes. Incluye mano de obra, herramienta menor y accesorios necesarios para dejar la canalización lista para el tendido de conductores.</t>
  </si>
  <si>
    <t xml:space="preserve"> instalación de cable encauchetado flexible 3x12 AWG para alimentación eléctrica de luminarias, incluye tendido, fijación, conexiones, terminales, pruebas de continuidad y puesta en funcionamiento.</t>
  </si>
  <si>
    <t xml:space="preserve">RED DE EXTRACCIÓN DE GASES</t>
  </si>
  <si>
    <t xml:space="preserve">instalación de tuberia de 4 pulgada (pesada), Incluye accesorio.</t>
  </si>
  <si>
    <t xml:space="preserve">Instación de maguera termoven de 4 pulgadas</t>
  </si>
  <si>
    <t xml:space="preserve">instalación de acople manguera</t>
  </si>
  <si>
    <t xml:space="preserve"> instalación de turbina extractora </t>
  </si>
  <si>
    <t xml:space="preserve">instalación de punto electrico</t>
  </si>
  <si>
    <t xml:space="preserve">aplicación de pintura en esmalte a tuberia de 4 pulgadas</t>
  </si>
  <si>
    <t xml:space="preserve">SUBTOTAL </t>
  </si>
  <si>
    <t xml:space="preserve">ADMINISTRACIÓN</t>
  </si>
  <si>
    <t xml:space="preserve">IMPREVISTOS</t>
  </si>
  <si>
    <t xml:space="preserve">UTILIDAD</t>
  </si>
  <si>
    <t xml:space="preserve">IVA SOBRE UTILIDAD </t>
  </si>
  <si>
    <t xml:space="preserve">DESCUENTO </t>
  </si>
  <si>
    <t xml:space="preserve">TOTAL DE LA OBRA </t>
  </si>
</sst>
</file>

<file path=xl/styles.xml><?xml version="1.0" encoding="utf-8"?>
<styleSheet xmlns="http://schemas.openxmlformats.org/spreadsheetml/2006/main">
  <numFmts count="7">
    <numFmt numFmtId="164" formatCode="General"/>
    <numFmt numFmtId="165" formatCode="_-&quot;$ &quot;* #,##0.00_-;&quot;-$ &quot;* #,##0.00_-;_-&quot;$ &quot;* \-??_-;_-@_-"/>
    <numFmt numFmtId="166" formatCode="0.00"/>
    <numFmt numFmtId="167" formatCode="0"/>
    <numFmt numFmtId="168" formatCode="#,##0.00\ [$COP];[RED]\-#,##0.00\ [$COP]"/>
    <numFmt numFmtId="169" formatCode="0.00\ %"/>
    <numFmt numFmtId="170" formatCode="0\ %"/>
  </numFmts>
  <fonts count="10">
    <font>
      <sz val="11"/>
      <color theme="1"/>
      <name val="Aptos Narrow"/>
      <family val="0"/>
      <charset val="1"/>
    </font>
    <font>
      <sz val="10"/>
      <name val="Arial"/>
      <family val="0"/>
    </font>
    <font>
      <sz val="10"/>
      <name val="Arial"/>
      <family val="0"/>
    </font>
    <font>
      <sz val="10"/>
      <name val="Arial"/>
      <family val="0"/>
    </font>
    <font>
      <b val="true"/>
      <sz val="11"/>
      <color theme="1"/>
      <name val="Aptos Narrow"/>
      <family val="0"/>
      <charset val="1"/>
    </font>
    <font>
      <b val="true"/>
      <sz val="11"/>
      <color theme="1"/>
      <name val="Calibri"/>
      <family val="0"/>
      <charset val="1"/>
    </font>
    <font>
      <b val="true"/>
      <sz val="12"/>
      <color theme="1"/>
      <name val="Arial"/>
      <family val="0"/>
      <charset val="1"/>
    </font>
    <font>
      <b val="true"/>
      <u val="single"/>
      <sz val="11"/>
      <color theme="1"/>
      <name val="Aptos Narrow"/>
      <family val="0"/>
      <charset val="1"/>
    </font>
    <font>
      <b val="true"/>
      <sz val="11"/>
      <color theme="1"/>
      <name val="Aptos Narrow"/>
      <family val="2"/>
      <charset val="1"/>
    </font>
    <font>
      <sz val="11"/>
      <color theme="1"/>
      <name val="Aptos Narrow"/>
      <family val="2"/>
      <charset val="1"/>
    </font>
  </fonts>
  <fills count="4">
    <fill>
      <patternFill patternType="none"/>
    </fill>
    <fill>
      <patternFill patternType="gray125"/>
    </fill>
    <fill>
      <patternFill patternType="solid">
        <fgColor rgb="FFD8D8D8"/>
        <bgColor rgb="FFD9D9D9"/>
      </patternFill>
    </fill>
    <fill>
      <patternFill patternType="solid">
        <fgColor theme="0" tint="-0.15"/>
        <bgColor rgb="FFD8D8D8"/>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bottom"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5" fontId="0" fillId="0" borderId="1" xfId="17" applyFont="true" applyBorder="true" applyAlignment="true" applyProtection="true">
      <alignment horizontal="center" vertical="center" textRotation="0" wrapText="false" indent="0" shrinkToFit="false"/>
      <protection locked="true" hidden="false"/>
    </xf>
    <xf numFmtId="164" fontId="8" fillId="3" borderId="1" xfId="0" applyFont="true" applyBorder="true" applyAlignment="true" applyProtection="true">
      <alignment horizontal="center" vertical="center" textRotation="0" wrapText="false" indent="0" shrinkToFit="false"/>
      <protection locked="true" hidden="false"/>
    </xf>
    <xf numFmtId="164" fontId="9" fillId="0"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false" indent="0" shrinkToFit="false"/>
      <protection locked="true" hidden="false"/>
    </xf>
    <xf numFmtId="166" fontId="0" fillId="0" borderId="1" xfId="0" applyFont="true" applyBorder="true" applyAlignment="true" applyProtection="true">
      <alignment horizontal="center" vertical="center" textRotation="0" wrapText="false" indent="0" shrinkToFit="false"/>
      <protection locked="true" hidden="false"/>
    </xf>
    <xf numFmtId="167" fontId="0" fillId="0" borderId="1" xfId="0" applyFont="true" applyBorder="true" applyAlignment="true" applyProtection="true">
      <alignment horizontal="center" vertical="center" textRotation="0" wrapText="false" indent="0" shrinkToFit="false"/>
      <protection locked="true" hidden="false"/>
    </xf>
    <xf numFmtId="165" fontId="0" fillId="0" borderId="1" xfId="17" applyFont="true" applyBorder="true" applyAlignment="true" applyProtection="true">
      <alignment horizontal="general" vertical="bottom" textRotation="0" wrapText="false" indent="0" shrinkToFit="false"/>
      <protection locked="true" hidden="false"/>
    </xf>
    <xf numFmtId="165" fontId="0" fillId="3" borderId="1" xfId="17"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left" vertical="center" textRotation="0" wrapText="false" indent="0" shrinkToFit="false"/>
      <protection locked="true" hidden="false"/>
    </xf>
    <xf numFmtId="168" fontId="0" fillId="0" borderId="1" xfId="0" applyFont="true" applyBorder="true" applyAlignment="true" applyProtection="true">
      <alignment horizontal="general" vertical="bottom" textRotation="0" wrapText="false" indent="0" shrinkToFit="false"/>
      <protection locked="true" hidden="false"/>
    </xf>
    <xf numFmtId="169" fontId="0" fillId="0" borderId="1" xfId="0" applyFont="true" applyBorder="true" applyAlignment="true" applyProtection="true">
      <alignment horizontal="right" vertical="bottom" textRotation="0" wrapText="false" indent="0" shrinkToFit="false"/>
      <protection locked="true" hidden="false"/>
    </xf>
    <xf numFmtId="170" fontId="0"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0</xdr:row>
      <xdr:rowOff>38160</xdr:rowOff>
    </xdr:from>
    <xdr:to>
      <xdr:col>1</xdr:col>
      <xdr:colOff>550440</xdr:colOff>
      <xdr:row>3</xdr:row>
      <xdr:rowOff>84960</xdr:rowOff>
    </xdr:to>
    <xdr:pic>
      <xdr:nvPicPr>
        <xdr:cNvPr id="0" name="image1.png" descr=""/>
        <xdr:cNvPicPr/>
      </xdr:nvPicPr>
      <xdr:blipFill>
        <a:blip r:embed="rId1"/>
        <a:stretch/>
      </xdr:blipFill>
      <xdr:spPr>
        <a:xfrm>
          <a:off x="114480" y="38160"/>
          <a:ext cx="1121760" cy="6742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6" activeCellId="0" sqref="G6"/>
    </sheetView>
  </sheetViews>
  <sheetFormatPr defaultColWidth="12.57421875" defaultRowHeight="15" zeroHeight="false" outlineLevelRow="0" outlineLevelCol="0"/>
  <cols>
    <col collapsed="false" customWidth="true" hidden="false" outlineLevel="0" max="1" min="1" style="1" width="8.57"/>
    <col collapsed="false" customWidth="true" hidden="false" outlineLevel="0" max="2" min="2" style="1" width="10.7"/>
    <col collapsed="false" customWidth="true" hidden="false" outlineLevel="0" max="4" min="3" style="1" width="8.57"/>
    <col collapsed="false" customWidth="true" hidden="false" outlineLevel="0" max="5" min="5" style="1" width="40.86"/>
    <col collapsed="false" customWidth="true" hidden="false" outlineLevel="0" max="6" min="6" style="1" width="8.57"/>
    <col collapsed="false" customWidth="true" hidden="false" outlineLevel="0" max="7" min="7" style="1" width="11.86"/>
    <col collapsed="false" customWidth="true" hidden="false" outlineLevel="0" max="8" min="8" style="1" width="15.36"/>
    <col collapsed="false" customWidth="true" hidden="false" outlineLevel="0" max="9" min="9" style="1" width="18.05"/>
    <col collapsed="false" customWidth="true" hidden="false" outlineLevel="0" max="26" min="10" style="1" width="8.57"/>
  </cols>
  <sheetData>
    <row r="1" customFormat="false" ht="18" hidden="false" customHeight="true" outlineLevel="0" collapsed="false">
      <c r="C1" s="2" t="s">
        <v>0</v>
      </c>
      <c r="D1" s="2"/>
      <c r="E1" s="2"/>
      <c r="F1" s="2"/>
      <c r="G1" s="2"/>
      <c r="H1" s="3" t="s">
        <v>1</v>
      </c>
      <c r="I1" s="3"/>
    </row>
    <row r="2" customFormat="false" ht="15" hidden="false" customHeight="true" outlineLevel="0" collapsed="false">
      <c r="C2" s="2"/>
      <c r="D2" s="2"/>
      <c r="E2" s="2"/>
      <c r="F2" s="2"/>
      <c r="G2" s="2"/>
      <c r="H2" s="3" t="s">
        <v>2</v>
      </c>
      <c r="I2" s="3"/>
    </row>
    <row r="3" customFormat="false" ht="16.4" hidden="false" customHeight="true" outlineLevel="0" collapsed="false">
      <c r="C3" s="2"/>
      <c r="D3" s="2"/>
      <c r="E3" s="2"/>
      <c r="F3" s="2"/>
      <c r="G3" s="2"/>
      <c r="H3" s="3" t="s">
        <v>3</v>
      </c>
      <c r="I3" s="3"/>
    </row>
    <row r="4" customFormat="false" ht="17.25" hidden="false" customHeight="true" outlineLevel="0" collapsed="false">
      <c r="C4" s="2"/>
      <c r="D4" s="2"/>
      <c r="E4" s="2"/>
      <c r="F4" s="2"/>
      <c r="G4" s="2"/>
      <c r="H4" s="3" t="s">
        <v>4</v>
      </c>
      <c r="I4" s="3"/>
    </row>
    <row r="5" customFormat="false" ht="27.75" hidden="false" customHeight="true" outlineLevel="0" collapsed="false">
      <c r="A5" s="4" t="s">
        <v>5</v>
      </c>
      <c r="B5" s="4"/>
      <c r="C5" s="5" t="s">
        <v>6</v>
      </c>
      <c r="D5" s="5"/>
      <c r="E5" s="2" t="s">
        <v>7</v>
      </c>
      <c r="F5" s="2"/>
      <c r="G5" s="6" t="s">
        <v>8</v>
      </c>
      <c r="H5" s="6"/>
      <c r="I5" s="6"/>
    </row>
    <row r="6" customFormat="false" ht="26.1" hidden="false" customHeight="true" outlineLevel="0" collapsed="false">
      <c r="A6" s="5" t="s">
        <v>9</v>
      </c>
      <c r="B6" s="5"/>
      <c r="C6" s="5" t="s">
        <v>10</v>
      </c>
      <c r="D6" s="5"/>
      <c r="E6" s="5" t="s">
        <v>11</v>
      </c>
      <c r="F6" s="5"/>
      <c r="G6" s="7" t="s">
        <v>12</v>
      </c>
      <c r="H6" s="7"/>
      <c r="I6" s="7"/>
    </row>
    <row r="7" customFormat="false" ht="32.25" hidden="false" customHeight="true" outlineLevel="0" collapsed="false">
      <c r="A7" s="2" t="s">
        <v>13</v>
      </c>
      <c r="B7" s="2"/>
      <c r="C7" s="5" t="s">
        <v>14</v>
      </c>
      <c r="D7" s="5"/>
      <c r="E7" s="4" t="s">
        <v>15</v>
      </c>
      <c r="F7" s="4"/>
      <c r="G7" s="5" t="s">
        <v>16</v>
      </c>
      <c r="H7" s="5"/>
      <c r="I7" s="5"/>
    </row>
    <row r="8" customFormat="false" ht="15" hidden="false" customHeight="false" outlineLevel="0" collapsed="false">
      <c r="A8" s="8" t="s">
        <v>17</v>
      </c>
      <c r="B8" s="8"/>
      <c r="C8" s="8"/>
      <c r="D8" s="8"/>
      <c r="E8" s="8"/>
      <c r="F8" s="8"/>
      <c r="G8" s="8"/>
      <c r="H8" s="8"/>
      <c r="I8" s="8"/>
    </row>
    <row r="9" customFormat="false" ht="31.3" hidden="false" customHeight="false" outlineLevel="0" collapsed="false">
      <c r="A9" s="2" t="s">
        <v>18</v>
      </c>
      <c r="B9" s="2" t="s">
        <v>19</v>
      </c>
      <c r="C9" s="2"/>
      <c r="D9" s="2"/>
      <c r="E9" s="2"/>
      <c r="F9" s="2" t="s">
        <v>20</v>
      </c>
      <c r="G9" s="2" t="s">
        <v>21</v>
      </c>
      <c r="H9" s="4" t="s">
        <v>22</v>
      </c>
      <c r="I9" s="4" t="s">
        <v>23</v>
      </c>
    </row>
    <row r="10" customFormat="false" ht="15" hidden="false" customHeight="false" outlineLevel="0" collapsed="false">
      <c r="A10" s="9" t="s">
        <v>24</v>
      </c>
      <c r="B10" s="9"/>
      <c r="C10" s="9"/>
      <c r="D10" s="9"/>
      <c r="E10" s="9"/>
      <c r="F10" s="9"/>
      <c r="G10" s="9"/>
      <c r="H10" s="9"/>
      <c r="I10" s="9"/>
    </row>
    <row r="11" customFormat="false" ht="87.75" hidden="false" customHeight="true" outlineLevel="0" collapsed="false">
      <c r="A11" s="10" t="n">
        <v>1</v>
      </c>
      <c r="B11" s="11" t="s">
        <v>25</v>
      </c>
      <c r="C11" s="11"/>
      <c r="D11" s="11"/>
      <c r="E11" s="11"/>
      <c r="F11" s="10" t="s">
        <v>26</v>
      </c>
      <c r="G11" s="10" t="n">
        <v>22</v>
      </c>
      <c r="H11" s="12" t="n">
        <v>18000</v>
      </c>
      <c r="I11" s="12" t="n">
        <f aca="false">G11*H11</f>
        <v>396000</v>
      </c>
    </row>
    <row r="12" customFormat="false" ht="194.25" hidden="false" customHeight="true" outlineLevel="0" collapsed="false">
      <c r="A12" s="10" t="n">
        <v>2</v>
      </c>
      <c r="B12" s="11" t="s">
        <v>27</v>
      </c>
      <c r="C12" s="11"/>
      <c r="D12" s="11"/>
      <c r="E12" s="11"/>
      <c r="F12" s="10" t="s">
        <v>28</v>
      </c>
      <c r="G12" s="10" t="n">
        <v>1</v>
      </c>
      <c r="H12" s="12" t="n">
        <v>4000000</v>
      </c>
      <c r="I12" s="12" t="n">
        <f aca="false">G12*H12</f>
        <v>4000000</v>
      </c>
    </row>
    <row r="13" customFormat="false" ht="18.75" hidden="false" customHeight="true" outlineLevel="0" collapsed="false">
      <c r="A13" s="13" t="s">
        <v>29</v>
      </c>
      <c r="B13" s="13"/>
      <c r="C13" s="13"/>
      <c r="D13" s="13"/>
      <c r="E13" s="13"/>
      <c r="F13" s="13"/>
      <c r="G13" s="13"/>
      <c r="H13" s="13"/>
      <c r="I13" s="12"/>
    </row>
    <row r="14" customFormat="false" ht="137.25" hidden="false" customHeight="true" outlineLevel="0" collapsed="false">
      <c r="A14" s="10" t="n">
        <v>3</v>
      </c>
      <c r="B14" s="14" t="s">
        <v>30</v>
      </c>
      <c r="C14" s="14"/>
      <c r="D14" s="14"/>
      <c r="E14" s="14"/>
      <c r="F14" s="15" t="s">
        <v>20</v>
      </c>
      <c r="G14" s="10" t="n">
        <v>10</v>
      </c>
      <c r="H14" s="12" t="n">
        <v>25000</v>
      </c>
      <c r="I14" s="12" t="n">
        <f aca="false">G14*H14</f>
        <v>250000</v>
      </c>
    </row>
    <row r="15" customFormat="false" ht="150" hidden="false" customHeight="true" outlineLevel="0" collapsed="false">
      <c r="A15" s="10" t="n">
        <v>4</v>
      </c>
      <c r="B15" s="14" t="s">
        <v>31</v>
      </c>
      <c r="C15" s="14"/>
      <c r="D15" s="14"/>
      <c r="E15" s="14"/>
      <c r="F15" s="15" t="s">
        <v>20</v>
      </c>
      <c r="G15" s="10" t="n">
        <v>23</v>
      </c>
      <c r="H15" s="12" t="n">
        <v>25000</v>
      </c>
      <c r="I15" s="12" t="n">
        <f aca="false">G15*H15</f>
        <v>575000</v>
      </c>
    </row>
    <row r="16" customFormat="false" ht="131.25" hidden="false" customHeight="true" outlineLevel="0" collapsed="false">
      <c r="A16" s="10" t="n">
        <v>5</v>
      </c>
      <c r="B16" s="11" t="s">
        <v>32</v>
      </c>
      <c r="C16" s="11"/>
      <c r="D16" s="11"/>
      <c r="E16" s="11"/>
      <c r="F16" s="15" t="s">
        <v>20</v>
      </c>
      <c r="G16" s="10" t="n">
        <v>1</v>
      </c>
      <c r="H16" s="12" t="n">
        <v>80000</v>
      </c>
      <c r="I16" s="12" t="n">
        <f aca="false">G16*H16</f>
        <v>80000</v>
      </c>
    </row>
    <row r="17" customFormat="false" ht="153" hidden="false" customHeight="true" outlineLevel="0" collapsed="false">
      <c r="A17" s="10" t="n">
        <v>6</v>
      </c>
      <c r="B17" s="14" t="s">
        <v>33</v>
      </c>
      <c r="C17" s="14"/>
      <c r="D17" s="14"/>
      <c r="E17" s="14"/>
      <c r="F17" s="15" t="s">
        <v>34</v>
      </c>
      <c r="G17" s="16" t="n">
        <v>3.2</v>
      </c>
      <c r="H17" s="12" t="n">
        <v>38000</v>
      </c>
      <c r="I17" s="12" t="n">
        <f aca="false">G17*H17</f>
        <v>121600</v>
      </c>
    </row>
    <row r="18" customFormat="false" ht="108.75" hidden="false" customHeight="true" outlineLevel="0" collapsed="false">
      <c r="A18" s="10" t="n">
        <v>7</v>
      </c>
      <c r="B18" s="14" t="s">
        <v>35</v>
      </c>
      <c r="C18" s="14"/>
      <c r="D18" s="14"/>
      <c r="E18" s="14"/>
      <c r="F18" s="15" t="s">
        <v>34</v>
      </c>
      <c r="G18" s="10" t="n">
        <v>237</v>
      </c>
      <c r="H18" s="12" t="n">
        <v>18000</v>
      </c>
      <c r="I18" s="12" t="n">
        <f aca="false">G18*H18</f>
        <v>4266000</v>
      </c>
    </row>
    <row r="19" customFormat="false" ht="117.75" hidden="false" customHeight="true" outlineLevel="0" collapsed="false">
      <c r="A19" s="10" t="n">
        <v>8</v>
      </c>
      <c r="B19" s="14" t="s">
        <v>36</v>
      </c>
      <c r="C19" s="14"/>
      <c r="D19" s="14"/>
      <c r="E19" s="14"/>
      <c r="F19" s="15" t="s">
        <v>34</v>
      </c>
      <c r="G19" s="10" t="n">
        <v>32</v>
      </c>
      <c r="H19" s="12" t="n">
        <v>20000</v>
      </c>
      <c r="I19" s="12" t="n">
        <f aca="false">G19*H19</f>
        <v>640000</v>
      </c>
    </row>
    <row r="20" customFormat="false" ht="142.5" hidden="false" customHeight="true" outlineLevel="0" collapsed="false">
      <c r="A20" s="10" t="n">
        <v>9</v>
      </c>
      <c r="B20" s="14" t="s">
        <v>37</v>
      </c>
      <c r="C20" s="14"/>
      <c r="D20" s="14"/>
      <c r="E20" s="14"/>
      <c r="F20" s="15" t="s">
        <v>34</v>
      </c>
      <c r="G20" s="10" t="n">
        <v>100</v>
      </c>
      <c r="H20" s="12" t="n">
        <v>50000</v>
      </c>
      <c r="I20" s="12" t="n">
        <f aca="false">G20*H20</f>
        <v>5000000</v>
      </c>
    </row>
    <row r="21" customFormat="false" ht="108" hidden="false" customHeight="true" outlineLevel="0" collapsed="false">
      <c r="A21" s="10" t="n">
        <v>10</v>
      </c>
      <c r="B21" s="14" t="s">
        <v>38</v>
      </c>
      <c r="C21" s="14"/>
      <c r="D21" s="14"/>
      <c r="E21" s="14"/>
      <c r="F21" s="15" t="s">
        <v>34</v>
      </c>
      <c r="G21" s="10" t="n">
        <v>28</v>
      </c>
      <c r="H21" s="12" t="n">
        <v>35000</v>
      </c>
      <c r="I21" s="12" t="n">
        <f aca="false">G21*H21</f>
        <v>980000</v>
      </c>
    </row>
    <row r="22" customFormat="false" ht="108.75" hidden="false" customHeight="true" outlineLevel="0" collapsed="false">
      <c r="A22" s="10" t="n">
        <v>11</v>
      </c>
      <c r="B22" s="14" t="s">
        <v>39</v>
      </c>
      <c r="C22" s="14"/>
      <c r="D22" s="14"/>
      <c r="E22" s="14"/>
      <c r="F22" s="15" t="s">
        <v>40</v>
      </c>
      <c r="G22" s="10" t="n">
        <v>28</v>
      </c>
      <c r="H22" s="12" t="n">
        <v>15000</v>
      </c>
      <c r="I22" s="12" t="n">
        <f aca="false">G22*H22</f>
        <v>420000</v>
      </c>
    </row>
    <row r="23" customFormat="false" ht="99" hidden="false" customHeight="true" outlineLevel="0" collapsed="false">
      <c r="A23" s="10" t="n">
        <v>12</v>
      </c>
      <c r="B23" s="14" t="s">
        <v>41</v>
      </c>
      <c r="C23" s="14"/>
      <c r="D23" s="14"/>
      <c r="E23" s="14"/>
      <c r="F23" s="15" t="s">
        <v>20</v>
      </c>
      <c r="G23" s="10" t="n">
        <v>4</v>
      </c>
      <c r="H23" s="12" t="n">
        <v>80000</v>
      </c>
      <c r="I23" s="12" t="n">
        <f aca="false">G23*H23</f>
        <v>320000</v>
      </c>
    </row>
    <row r="24" customFormat="false" ht="93.75" hidden="false" customHeight="true" outlineLevel="0" collapsed="false">
      <c r="A24" s="10" t="n">
        <v>13</v>
      </c>
      <c r="B24" s="14" t="s">
        <v>42</v>
      </c>
      <c r="C24" s="14"/>
      <c r="D24" s="14"/>
      <c r="E24" s="14"/>
      <c r="F24" s="15" t="s">
        <v>20</v>
      </c>
      <c r="G24" s="17" t="n">
        <v>10</v>
      </c>
      <c r="H24" s="12" t="n">
        <v>80000</v>
      </c>
      <c r="I24" s="12" t="n">
        <f aca="false">G24*H24</f>
        <v>800000</v>
      </c>
    </row>
    <row r="25" customFormat="false" ht="115.5" hidden="false" customHeight="true" outlineLevel="0" collapsed="false">
      <c r="A25" s="10" t="n">
        <v>14</v>
      </c>
      <c r="B25" s="14" t="s">
        <v>43</v>
      </c>
      <c r="C25" s="14"/>
      <c r="D25" s="14"/>
      <c r="E25" s="14"/>
      <c r="F25" s="15" t="s">
        <v>40</v>
      </c>
      <c r="G25" s="17" t="n">
        <v>48</v>
      </c>
      <c r="H25" s="18" t="n">
        <v>50000</v>
      </c>
      <c r="I25" s="12" t="n">
        <f aca="false">G25*H25</f>
        <v>2400000</v>
      </c>
    </row>
    <row r="26" customFormat="false" ht="115.5" hidden="false" customHeight="true" outlineLevel="0" collapsed="false">
      <c r="A26" s="10" t="n">
        <v>15</v>
      </c>
      <c r="B26" s="14" t="s">
        <v>44</v>
      </c>
      <c r="C26" s="14"/>
      <c r="D26" s="14"/>
      <c r="E26" s="14"/>
      <c r="F26" s="15" t="s">
        <v>20</v>
      </c>
      <c r="G26" s="10" t="n">
        <v>3</v>
      </c>
      <c r="H26" s="18" t="n">
        <v>250000</v>
      </c>
      <c r="I26" s="12" t="n">
        <f aca="false">G26*H26</f>
        <v>750000</v>
      </c>
    </row>
    <row r="27" customFormat="false" ht="179.25" hidden="false" customHeight="true" outlineLevel="0" collapsed="false">
      <c r="A27" s="10" t="n">
        <v>16</v>
      </c>
      <c r="B27" s="14" t="s">
        <v>45</v>
      </c>
      <c r="C27" s="14"/>
      <c r="D27" s="14"/>
      <c r="E27" s="14"/>
      <c r="F27" s="15" t="s">
        <v>20</v>
      </c>
      <c r="G27" s="10" t="n">
        <v>1</v>
      </c>
      <c r="H27" s="18" t="n">
        <v>600000</v>
      </c>
      <c r="I27" s="12" t="n">
        <f aca="false">G27*H27</f>
        <v>600000</v>
      </c>
    </row>
    <row r="28" customFormat="false" ht="76.5" hidden="false" customHeight="true" outlineLevel="0" collapsed="false">
      <c r="A28" s="10" t="n">
        <v>17</v>
      </c>
      <c r="B28" s="14" t="s">
        <v>46</v>
      </c>
      <c r="C28" s="14"/>
      <c r="D28" s="14"/>
      <c r="E28" s="14"/>
      <c r="F28" s="15" t="s">
        <v>40</v>
      </c>
      <c r="G28" s="10" t="n">
        <v>40</v>
      </c>
      <c r="H28" s="18" t="n">
        <v>8000</v>
      </c>
      <c r="I28" s="12" t="n">
        <f aca="false">G28*H28</f>
        <v>320000</v>
      </c>
    </row>
    <row r="29" customFormat="false" ht="69.75" hidden="false" customHeight="true" outlineLevel="0" collapsed="false">
      <c r="A29" s="10" t="n">
        <v>18</v>
      </c>
      <c r="B29" s="14" t="s">
        <v>47</v>
      </c>
      <c r="C29" s="14"/>
      <c r="D29" s="14"/>
      <c r="E29" s="14"/>
      <c r="F29" s="15" t="s">
        <v>40</v>
      </c>
      <c r="G29" s="10" t="n">
        <v>177</v>
      </c>
      <c r="H29" s="18" t="n">
        <v>8000</v>
      </c>
      <c r="I29" s="12" t="n">
        <f aca="false">G29*H29</f>
        <v>1416000</v>
      </c>
    </row>
    <row r="30" customFormat="false" ht="36" hidden="false" customHeight="true" outlineLevel="0" collapsed="false">
      <c r="A30" s="13" t="s">
        <v>48</v>
      </c>
      <c r="B30" s="13"/>
      <c r="C30" s="13"/>
      <c r="D30" s="13"/>
      <c r="E30" s="13"/>
      <c r="F30" s="13"/>
      <c r="G30" s="13"/>
      <c r="H30" s="19"/>
      <c r="I30" s="12"/>
    </row>
    <row r="31" customFormat="false" ht="111" hidden="false" customHeight="true" outlineLevel="0" collapsed="false">
      <c r="A31" s="10" t="n">
        <v>19</v>
      </c>
      <c r="B31" s="14" t="s">
        <v>49</v>
      </c>
      <c r="C31" s="14"/>
      <c r="D31" s="14"/>
      <c r="E31" s="14"/>
      <c r="F31" s="15" t="s">
        <v>40</v>
      </c>
      <c r="G31" s="10" t="n">
        <v>7</v>
      </c>
      <c r="H31" s="18" t="n">
        <v>30000</v>
      </c>
      <c r="I31" s="12" t="n">
        <f aca="false">G31*H31</f>
        <v>210000</v>
      </c>
    </row>
    <row r="32" customFormat="false" ht="132" hidden="false" customHeight="true" outlineLevel="0" collapsed="false">
      <c r="A32" s="10" t="n">
        <v>20</v>
      </c>
      <c r="B32" s="14" t="s">
        <v>30</v>
      </c>
      <c r="C32" s="14"/>
      <c r="D32" s="14"/>
      <c r="E32" s="14"/>
      <c r="F32" s="15" t="s">
        <v>20</v>
      </c>
      <c r="G32" s="10" t="n">
        <v>13</v>
      </c>
      <c r="H32" s="18" t="n">
        <v>25000</v>
      </c>
      <c r="I32" s="12" t="n">
        <f aca="false">G32*H32</f>
        <v>325000</v>
      </c>
    </row>
    <row r="33" customFormat="false" ht="146.25" hidden="false" customHeight="true" outlineLevel="0" collapsed="false">
      <c r="A33" s="10" t="n">
        <v>21</v>
      </c>
      <c r="B33" s="14" t="s">
        <v>50</v>
      </c>
      <c r="C33" s="14"/>
      <c r="D33" s="14"/>
      <c r="E33" s="14"/>
      <c r="F33" s="15" t="s">
        <v>28</v>
      </c>
      <c r="G33" s="10" t="n">
        <v>1</v>
      </c>
      <c r="H33" s="18" t="n">
        <v>900000</v>
      </c>
      <c r="I33" s="12" t="n">
        <f aca="false">G33*H33</f>
        <v>900000</v>
      </c>
    </row>
    <row r="34" customFormat="false" ht="150" hidden="false" customHeight="true" outlineLevel="0" collapsed="false">
      <c r="A34" s="10" t="n">
        <v>22</v>
      </c>
      <c r="B34" s="14" t="s">
        <v>31</v>
      </c>
      <c r="C34" s="14"/>
      <c r="D34" s="14"/>
      <c r="E34" s="14"/>
      <c r="F34" s="15" t="s">
        <v>20</v>
      </c>
      <c r="G34" s="10" t="n">
        <v>2</v>
      </c>
      <c r="H34" s="18" t="n">
        <v>25000</v>
      </c>
      <c r="I34" s="12" t="n">
        <f aca="false">G34*H34</f>
        <v>50000</v>
      </c>
    </row>
    <row r="35" customFormat="false" ht="167.25" hidden="false" customHeight="true" outlineLevel="0" collapsed="false">
      <c r="A35" s="10" t="n">
        <v>23</v>
      </c>
      <c r="B35" s="14" t="s">
        <v>33</v>
      </c>
      <c r="C35" s="14"/>
      <c r="D35" s="14"/>
      <c r="E35" s="14"/>
      <c r="F35" s="15" t="s">
        <v>34</v>
      </c>
      <c r="G35" s="16" t="n">
        <v>8.07</v>
      </c>
      <c r="H35" s="18" t="n">
        <v>38000</v>
      </c>
      <c r="I35" s="12" t="n">
        <f aca="false">G35*H35</f>
        <v>306660</v>
      </c>
    </row>
    <row r="36" customFormat="false" ht="96.75" hidden="false" customHeight="true" outlineLevel="0" collapsed="false">
      <c r="A36" s="10" t="n">
        <v>24</v>
      </c>
      <c r="B36" s="14" t="s">
        <v>35</v>
      </c>
      <c r="C36" s="14"/>
      <c r="D36" s="14"/>
      <c r="E36" s="14"/>
      <c r="F36" s="15" t="s">
        <v>34</v>
      </c>
      <c r="G36" s="17" t="n">
        <v>279</v>
      </c>
      <c r="H36" s="12" t="n">
        <v>18000</v>
      </c>
      <c r="I36" s="12" t="n">
        <f aca="false">G36*H36</f>
        <v>5022000</v>
      </c>
    </row>
    <row r="37" customFormat="false" ht="112.5" hidden="false" customHeight="true" outlineLevel="0" collapsed="false">
      <c r="A37" s="10" t="n">
        <v>25</v>
      </c>
      <c r="B37" s="14" t="s">
        <v>51</v>
      </c>
      <c r="C37" s="14"/>
      <c r="D37" s="14"/>
      <c r="E37" s="14"/>
      <c r="F37" s="15" t="s">
        <v>34</v>
      </c>
      <c r="G37" s="16" t="n">
        <v>6.5</v>
      </c>
      <c r="H37" s="12" t="n">
        <v>18000</v>
      </c>
      <c r="I37" s="12" t="n">
        <f aca="false">G37*H37</f>
        <v>117000</v>
      </c>
    </row>
    <row r="38" customFormat="false" ht="162" hidden="false" customHeight="true" outlineLevel="0" collapsed="false">
      <c r="A38" s="10" t="n">
        <v>26</v>
      </c>
      <c r="B38" s="11" t="s">
        <v>52</v>
      </c>
      <c r="C38" s="11"/>
      <c r="D38" s="11"/>
      <c r="E38" s="11"/>
      <c r="F38" s="15" t="s">
        <v>34</v>
      </c>
      <c r="G38" s="17" t="n">
        <v>4</v>
      </c>
      <c r="H38" s="12" t="n">
        <v>18000</v>
      </c>
      <c r="I38" s="12" t="n">
        <f aca="false">G38*H38</f>
        <v>72000</v>
      </c>
    </row>
    <row r="39" customFormat="false" ht="198.75" hidden="false" customHeight="true" outlineLevel="0" collapsed="false">
      <c r="A39" s="10" t="n">
        <v>27</v>
      </c>
      <c r="B39" s="14" t="s">
        <v>53</v>
      </c>
      <c r="C39" s="14"/>
      <c r="D39" s="14"/>
      <c r="E39" s="14"/>
      <c r="F39" s="15" t="s">
        <v>34</v>
      </c>
      <c r="G39" s="10" t="n">
        <v>103</v>
      </c>
      <c r="H39" s="12" t="n">
        <v>25000</v>
      </c>
      <c r="I39" s="12" t="n">
        <f aca="false">G39*H39</f>
        <v>2575000</v>
      </c>
    </row>
    <row r="40" customFormat="false" ht="131.25" hidden="false" customHeight="true" outlineLevel="0" collapsed="false">
      <c r="A40" s="10" t="n">
        <v>28</v>
      </c>
      <c r="B40" s="14" t="s">
        <v>37</v>
      </c>
      <c r="C40" s="14"/>
      <c r="D40" s="14"/>
      <c r="E40" s="14"/>
      <c r="F40" s="15" t="s">
        <v>34</v>
      </c>
      <c r="G40" s="10" t="n">
        <v>32</v>
      </c>
      <c r="H40" s="12" t="n">
        <v>50000</v>
      </c>
      <c r="I40" s="12" t="n">
        <f aca="false">G40*H40</f>
        <v>1600000</v>
      </c>
    </row>
    <row r="41" customFormat="false" ht="118.5" hidden="false" customHeight="true" outlineLevel="0" collapsed="false">
      <c r="A41" s="10" t="n">
        <v>29</v>
      </c>
      <c r="B41" s="14" t="s">
        <v>54</v>
      </c>
      <c r="C41" s="14"/>
      <c r="D41" s="14"/>
      <c r="E41" s="14"/>
      <c r="F41" s="15" t="s">
        <v>20</v>
      </c>
      <c r="G41" s="10" t="n">
        <v>1</v>
      </c>
      <c r="H41" s="12" t="n">
        <v>80000</v>
      </c>
      <c r="I41" s="12" t="n">
        <f aca="false">G41*H41</f>
        <v>80000</v>
      </c>
    </row>
    <row r="42" customFormat="false" ht="72.75" hidden="false" customHeight="true" outlineLevel="0" collapsed="false">
      <c r="A42" s="10" t="n">
        <v>30</v>
      </c>
      <c r="B42" s="14" t="s">
        <v>55</v>
      </c>
      <c r="C42" s="14"/>
      <c r="D42" s="14"/>
      <c r="E42" s="14"/>
      <c r="F42" s="15" t="s">
        <v>20</v>
      </c>
      <c r="G42" s="10" t="n">
        <v>4</v>
      </c>
      <c r="H42" s="12" t="n">
        <v>140000</v>
      </c>
      <c r="I42" s="12" t="n">
        <f aca="false">G42*H42</f>
        <v>560000</v>
      </c>
    </row>
    <row r="43" customFormat="false" ht="123.75" hidden="false" customHeight="true" outlineLevel="0" collapsed="false">
      <c r="A43" s="10" t="n">
        <v>31</v>
      </c>
      <c r="B43" s="14" t="s">
        <v>56</v>
      </c>
      <c r="C43" s="14"/>
      <c r="D43" s="14"/>
      <c r="E43" s="14"/>
      <c r="F43" s="15" t="s">
        <v>20</v>
      </c>
      <c r="G43" s="10" t="n">
        <v>8</v>
      </c>
      <c r="H43" s="12" t="n">
        <v>50000</v>
      </c>
      <c r="I43" s="12" t="n">
        <f aca="false">G43*H43</f>
        <v>400000</v>
      </c>
    </row>
    <row r="44" customFormat="false" ht="108" hidden="false" customHeight="true" outlineLevel="0" collapsed="false">
      <c r="A44" s="10" t="n">
        <v>32</v>
      </c>
      <c r="B44" s="14" t="s">
        <v>57</v>
      </c>
      <c r="C44" s="14"/>
      <c r="D44" s="14"/>
      <c r="E44" s="14"/>
      <c r="F44" s="15" t="s">
        <v>20</v>
      </c>
      <c r="G44" s="10" t="n">
        <v>1</v>
      </c>
      <c r="H44" s="12" t="n">
        <v>250000</v>
      </c>
      <c r="I44" s="12" t="n">
        <f aca="false">G44*H44</f>
        <v>250000</v>
      </c>
    </row>
    <row r="45" customFormat="false" ht="114" hidden="false" customHeight="true" outlineLevel="0" collapsed="false">
      <c r="A45" s="10" t="n">
        <v>33</v>
      </c>
      <c r="B45" s="14" t="s">
        <v>58</v>
      </c>
      <c r="C45" s="14"/>
      <c r="D45" s="14"/>
      <c r="E45" s="14"/>
      <c r="F45" s="15" t="s">
        <v>40</v>
      </c>
      <c r="G45" s="10" t="n">
        <v>20</v>
      </c>
      <c r="H45" s="12" t="n">
        <v>20000</v>
      </c>
      <c r="I45" s="12" t="n">
        <f aca="false">G45*H45</f>
        <v>400000</v>
      </c>
    </row>
    <row r="46" customFormat="false" ht="64.5" hidden="false" customHeight="true" outlineLevel="0" collapsed="false">
      <c r="A46" s="10" t="n">
        <v>34</v>
      </c>
      <c r="B46" s="14" t="s">
        <v>59</v>
      </c>
      <c r="C46" s="14"/>
      <c r="D46" s="14"/>
      <c r="E46" s="14"/>
      <c r="F46" s="15" t="s">
        <v>40</v>
      </c>
      <c r="G46" s="10" t="n">
        <v>14</v>
      </c>
      <c r="H46" s="12" t="n">
        <v>8000</v>
      </c>
      <c r="I46" s="12" t="n">
        <f aca="false">G46*H46</f>
        <v>112000</v>
      </c>
    </row>
    <row r="47" customFormat="false" ht="72.75" hidden="false" customHeight="true" outlineLevel="0" collapsed="false">
      <c r="A47" s="10" t="n">
        <v>35</v>
      </c>
      <c r="B47" s="14" t="s">
        <v>47</v>
      </c>
      <c r="C47" s="14"/>
      <c r="D47" s="14"/>
      <c r="E47" s="14"/>
      <c r="F47" s="15" t="s">
        <v>40</v>
      </c>
      <c r="G47" s="10" t="n">
        <v>20</v>
      </c>
      <c r="H47" s="12" t="n">
        <v>8000</v>
      </c>
      <c r="I47" s="12" t="n">
        <f aca="false">G47*H47</f>
        <v>160000</v>
      </c>
    </row>
    <row r="48" customFormat="false" ht="15.75" hidden="false" customHeight="true" outlineLevel="0" collapsed="false">
      <c r="A48" s="13" t="s">
        <v>60</v>
      </c>
      <c r="B48" s="13"/>
      <c r="C48" s="13"/>
      <c r="D48" s="13"/>
      <c r="E48" s="13"/>
      <c r="F48" s="13"/>
      <c r="G48" s="13"/>
      <c r="H48" s="12"/>
      <c r="I48" s="12"/>
    </row>
    <row r="49" customFormat="false" ht="33" hidden="false" customHeight="true" outlineLevel="0" collapsed="false">
      <c r="A49" s="10" t="n">
        <v>36</v>
      </c>
      <c r="B49" s="14" t="s">
        <v>61</v>
      </c>
      <c r="C49" s="14"/>
      <c r="D49" s="14"/>
      <c r="E49" s="14"/>
      <c r="F49" s="15" t="s">
        <v>40</v>
      </c>
      <c r="G49" s="10" t="n">
        <v>30</v>
      </c>
      <c r="H49" s="12" t="n">
        <v>40000</v>
      </c>
      <c r="I49" s="12" t="n">
        <f aca="false">G49*H49</f>
        <v>1200000</v>
      </c>
    </row>
    <row r="50" customFormat="false" ht="48" hidden="false" customHeight="true" outlineLevel="0" collapsed="false">
      <c r="A50" s="10" t="n">
        <v>37</v>
      </c>
      <c r="B50" s="14" t="s">
        <v>62</v>
      </c>
      <c r="C50" s="14"/>
      <c r="D50" s="14"/>
      <c r="E50" s="14"/>
      <c r="F50" s="15" t="s">
        <v>40</v>
      </c>
      <c r="G50" s="10" t="n">
        <v>5</v>
      </c>
      <c r="H50" s="12" t="n">
        <v>40000</v>
      </c>
      <c r="I50" s="12" t="n">
        <f aca="false">G50*H50</f>
        <v>200000</v>
      </c>
    </row>
    <row r="51" customFormat="false" ht="15.75" hidden="false" customHeight="true" outlineLevel="0" collapsed="false">
      <c r="A51" s="10" t="n">
        <v>38</v>
      </c>
      <c r="B51" s="20" t="s">
        <v>63</v>
      </c>
      <c r="C51" s="20"/>
      <c r="D51" s="20"/>
      <c r="E51" s="20"/>
      <c r="F51" s="15" t="s">
        <v>20</v>
      </c>
      <c r="G51" s="10" t="n">
        <v>2</v>
      </c>
      <c r="H51" s="12" t="n">
        <v>40000</v>
      </c>
      <c r="I51" s="12" t="n">
        <f aca="false">G51*H51</f>
        <v>80000</v>
      </c>
    </row>
    <row r="52" customFormat="false" ht="42.75" hidden="false" customHeight="true" outlineLevel="0" collapsed="false">
      <c r="A52" s="10" t="n">
        <v>39</v>
      </c>
      <c r="B52" s="14" t="s">
        <v>64</v>
      </c>
      <c r="C52" s="14"/>
      <c r="D52" s="14"/>
      <c r="E52" s="14"/>
      <c r="F52" s="15" t="s">
        <v>20</v>
      </c>
      <c r="G52" s="10" t="n">
        <v>1</v>
      </c>
      <c r="H52" s="12" t="n">
        <v>300000</v>
      </c>
      <c r="I52" s="12" t="n">
        <f aca="false">G52*H52</f>
        <v>300000</v>
      </c>
    </row>
    <row r="53" customFormat="false" ht="32.25" hidden="false" customHeight="true" outlineLevel="0" collapsed="false">
      <c r="A53" s="10" t="n">
        <v>40</v>
      </c>
      <c r="B53" s="14" t="s">
        <v>65</v>
      </c>
      <c r="C53" s="14"/>
      <c r="D53" s="14"/>
      <c r="E53" s="14"/>
      <c r="F53" s="15" t="s">
        <v>20</v>
      </c>
      <c r="G53" s="10" t="n">
        <v>1</v>
      </c>
      <c r="H53" s="12" t="n">
        <v>120000</v>
      </c>
      <c r="I53" s="12" t="n">
        <f aca="false">G53*H53</f>
        <v>120000</v>
      </c>
    </row>
    <row r="54" customFormat="false" ht="39.75" hidden="false" customHeight="true" outlineLevel="0" collapsed="false">
      <c r="A54" s="10" t="n">
        <v>41</v>
      </c>
      <c r="B54" s="14" t="s">
        <v>66</v>
      </c>
      <c r="C54" s="14"/>
      <c r="D54" s="14"/>
      <c r="E54" s="14"/>
      <c r="F54" s="15" t="s">
        <v>40</v>
      </c>
      <c r="G54" s="10" t="n">
        <v>30</v>
      </c>
      <c r="H54" s="12" t="n">
        <v>12000</v>
      </c>
      <c r="I54" s="12" t="n">
        <f aca="false">G54*H54</f>
        <v>360000</v>
      </c>
    </row>
    <row r="55" customFormat="false" ht="15.75" hidden="false" customHeight="true" outlineLevel="0" collapsed="false">
      <c r="A55" s="5" t="s">
        <v>67</v>
      </c>
      <c r="B55" s="5"/>
      <c r="C55" s="5"/>
      <c r="D55" s="5"/>
      <c r="E55" s="5"/>
      <c r="F55" s="5"/>
      <c r="G55" s="5"/>
      <c r="H55" s="5"/>
      <c r="I55" s="21" t="n">
        <f aca="false">SUM(I11:I54)</f>
        <v>38734260</v>
      </c>
    </row>
    <row r="56" customFormat="false" ht="15.75" hidden="false" customHeight="true" outlineLevel="0" collapsed="false">
      <c r="A56" s="5" t="s">
        <v>68</v>
      </c>
      <c r="B56" s="5"/>
      <c r="C56" s="5"/>
      <c r="D56" s="5"/>
      <c r="E56" s="5"/>
      <c r="F56" s="5"/>
      <c r="G56" s="5"/>
      <c r="H56" s="22" t="n">
        <v>0.05</v>
      </c>
      <c r="I56" s="21" t="n">
        <f aca="false">I55*5%</f>
        <v>1936713</v>
      </c>
    </row>
    <row r="57" customFormat="false" ht="15.75" hidden="false" customHeight="true" outlineLevel="0" collapsed="false">
      <c r="A57" s="5" t="s">
        <v>69</v>
      </c>
      <c r="B57" s="5"/>
      <c r="C57" s="5"/>
      <c r="D57" s="5"/>
      <c r="E57" s="5"/>
      <c r="F57" s="5"/>
      <c r="G57" s="5"/>
      <c r="H57" s="22" t="n">
        <v>0.03</v>
      </c>
      <c r="I57" s="21" t="n">
        <f aca="false">I55*3%</f>
        <v>1162027.8</v>
      </c>
    </row>
    <row r="58" customFormat="false" ht="15.75" hidden="false" customHeight="true" outlineLevel="0" collapsed="false">
      <c r="A58" s="5" t="s">
        <v>70</v>
      </c>
      <c r="B58" s="5"/>
      <c r="C58" s="5"/>
      <c r="D58" s="5"/>
      <c r="E58" s="5"/>
      <c r="F58" s="5"/>
      <c r="G58" s="5"/>
      <c r="H58" s="22" t="n">
        <v>0.03</v>
      </c>
      <c r="I58" s="21" t="n">
        <f aca="false">I55*3%</f>
        <v>1162027.8</v>
      </c>
    </row>
    <row r="59" customFormat="false" ht="15.75" hidden="false" customHeight="true" outlineLevel="0" collapsed="false">
      <c r="A59" s="5" t="s">
        <v>71</v>
      </c>
      <c r="B59" s="5"/>
      <c r="C59" s="5"/>
      <c r="D59" s="5"/>
      <c r="E59" s="5"/>
      <c r="F59" s="5"/>
      <c r="G59" s="5"/>
      <c r="H59" s="23" t="n">
        <v>0.19</v>
      </c>
      <c r="I59" s="21" t="n">
        <f aca="false">I58*H59</f>
        <v>220785.282</v>
      </c>
    </row>
    <row r="60" customFormat="false" ht="15.75" hidden="false" customHeight="true" outlineLevel="0" collapsed="false">
      <c r="A60" s="5" t="s">
        <v>72</v>
      </c>
      <c r="B60" s="5"/>
      <c r="C60" s="5"/>
      <c r="D60" s="5"/>
      <c r="E60" s="5"/>
      <c r="F60" s="5"/>
      <c r="G60" s="5"/>
      <c r="H60" s="5"/>
      <c r="I60" s="21"/>
    </row>
    <row r="61" customFormat="false" ht="15.75" hidden="false" customHeight="true" outlineLevel="0" collapsed="false">
      <c r="A61" s="5" t="s">
        <v>73</v>
      </c>
      <c r="B61" s="5"/>
      <c r="C61" s="5"/>
      <c r="D61" s="5"/>
      <c r="E61" s="5"/>
      <c r="F61" s="5"/>
      <c r="G61" s="5"/>
      <c r="H61" s="5"/>
      <c r="I61" s="21" t="n">
        <f aca="false">SUM(I55:I59)</f>
        <v>43215813.882</v>
      </c>
    </row>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sheetData>
  <mergeCells count="71">
    <mergeCell ref="C1:G4"/>
    <mergeCell ref="H1:I1"/>
    <mergeCell ref="H2:I2"/>
    <mergeCell ref="H3:I3"/>
    <mergeCell ref="H4:I4"/>
    <mergeCell ref="A5:B5"/>
    <mergeCell ref="C5:D5"/>
    <mergeCell ref="E5:F5"/>
    <mergeCell ref="G5:I5"/>
    <mergeCell ref="A6:B6"/>
    <mergeCell ref="C6:D6"/>
    <mergeCell ref="E6:F6"/>
    <mergeCell ref="G6:I6"/>
    <mergeCell ref="A7:B7"/>
    <mergeCell ref="C7:D7"/>
    <mergeCell ref="E7:F7"/>
    <mergeCell ref="G7:I7"/>
    <mergeCell ref="A8:I8"/>
    <mergeCell ref="B9:E9"/>
    <mergeCell ref="A10:I10"/>
    <mergeCell ref="B11:E11"/>
    <mergeCell ref="B12:E12"/>
    <mergeCell ref="A13:H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A30:G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A48:G48"/>
    <mergeCell ref="B49:E49"/>
    <mergeCell ref="B50:E50"/>
    <mergeCell ref="B51:E51"/>
    <mergeCell ref="B52:E52"/>
    <mergeCell ref="B53:E53"/>
    <mergeCell ref="B54:E54"/>
    <mergeCell ref="A55:H55"/>
    <mergeCell ref="A56:G56"/>
    <mergeCell ref="A57:G57"/>
    <mergeCell ref="A58:G58"/>
    <mergeCell ref="A59:G59"/>
    <mergeCell ref="A60:H60"/>
    <mergeCell ref="A61:H6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99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2026-03-05T22:56:30Z</dcterms:created>
  <dc:creator>giorgi business group sas bic giorgi business group sas bic</dc:creator>
  <dc:description/>
  <dc:language>es-ES</dc:language>
  <cp:lastModifiedBy/>
  <dcterms:modified xsi:type="dcterms:W3CDTF">2026-07-29T08:17:25Z</dcterms:modified>
  <cp:revision>25</cp:revision>
  <dc:subject/>
  <dc:title/>
</cp:coreProperties>
</file>

<file path=docProps/custom.xml><?xml version="1.0" encoding="utf-8"?>
<Properties xmlns="http://schemas.openxmlformats.org/officeDocument/2006/custom-properties" xmlns:vt="http://schemas.openxmlformats.org/officeDocument/2006/docPropsVTypes"/>
</file>